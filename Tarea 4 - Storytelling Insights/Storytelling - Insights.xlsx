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30d3bd6bc42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ía" sheetId="1" r:id="Ra975d27bf7a54d8f"/>
    <x:sheet xmlns:r="http://schemas.openxmlformats.org/officeDocument/2006/relationships" name="01 Storytelling" sheetId="2" r:id="Re0e33c8adfd24ecc"/>
    <x:sheet xmlns:r="http://schemas.openxmlformats.org/officeDocument/2006/relationships" name="02 KPI Insight" sheetId="3" r:id="Rd08cc50af39a471f"/>
    <x:sheet xmlns:r="http://schemas.openxmlformats.org/officeDocument/2006/relationships" name="03 Dashboard" sheetId="4" r:id="Ra04cedca9de246f1"/>
    <x:sheet xmlns:r="http://schemas.openxmlformats.org/officeDocument/2006/relationships" name="04 Jerarquía" sheetId="5" r:id="R517bb6b0ff014f20"/>
    <x:sheet xmlns:r="http://schemas.openxmlformats.org/officeDocument/2006/relationships" name="05 KPI estándar" sheetId="6" r:id="Ra16e608453ac4f8d"/>
    <x:sheet xmlns:r="http://schemas.openxmlformats.org/officeDocument/2006/relationships" name="06 Tendencias" sheetId="7" r:id="Rcf117db52c164261"/>
    <x:sheet xmlns:r="http://schemas.openxmlformats.org/officeDocument/2006/relationships" name="07 Integrador" sheetId="8" r:id="R0fcaabd5e7d44b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%"/>
    <x:numFmt numFmtId="202" formatCode="0.00"/>
  </x:numFmts>
  <x:fonts count="10">
    <x:font>
      <x:sz val="11"/>
      <x:name val="Carlito"/>
    </x:font>
    <x:font>
      <x:sz val="10"/>
      <x:color rgb="FF111111"/>
      <x:name val="Arial"/>
    </x:font>
    <x:font>
      <x:b/>
      <x:sz val="17"/>
      <x:color rgb="FF111111"/>
      <x:name val="Arial"/>
    </x:font>
    <x:font>
      <x:i/>
      <x:sz val="10"/>
      <x:color rgb="FF3A3D41"/>
      <x:name val="Arial"/>
    </x:font>
    <x:font>
      <x:b/>
      <x:sz val="10"/>
      <x:color rgb="FFFFFFFF"/>
      <x:name val="Arial"/>
    </x:font>
    <x:font>
      <x:b/>
      <x:sz val="12"/>
      <x:color rgb="FFFFFFFF"/>
      <x:name val="Arial"/>
    </x:font>
    <x:font>
      <x:b/>
      <x:sz val="10"/>
      <x:color rgb="FF111111"/>
      <x:name val="Arial"/>
    </x:font>
    <x:font>
      <x:b/>
      <x:sz val="10"/>
      <x:color rgb="FFB00020"/>
      <x:name val="Arial"/>
    </x:font>
    <x:font>
      <x:i/>
      <x:sz val="10"/>
      <x:color rgb="FF70757A"/>
      <x:name val="Arial"/>
    </x:font>
    <x:font>
      <x:sz val="11"/>
      <x:color rgb="FF3A3D41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A3D41"/>
      </x:patternFill>
    </x:fill>
    <x:fill>
      <x:patternFill patternType="solid">
        <x:fgColor rgb="FFB00020"/>
      </x:patternFill>
    </x:fill>
    <x:fill>
      <x:patternFill patternType="solid">
        <x:fgColor rgb="FFE7E9EC"/>
      </x:patternFill>
    </x:fill>
    <x:fill>
      <x:patternFill patternType="solid">
        <x:fgColor rgb="FF111111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5F6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B00020"/>
      </x:bottom>
      <x:diagonal/>
    </x:border>
    <x:border>
      <x:left style="thin">
        <x:color rgb="FFB9BDC2"/>
      </x:left>
      <x:right style="thin">
        <x:color rgb="FFB9BDC2"/>
      </x:right>
      <x:top style="thin">
        <x:color rgb="FFB9BDC2"/>
      </x:top>
      <x:bottom style="thin">
        <x:color rgb="FFB9BDC2"/>
      </x:bottom>
      <x:diagonal/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2" borderId="2" xfId="0" applyNumberFormat="1" applyFont="1" applyFill="1" applyBorder="1"/>
    <x:xf numFmtId="0" fontId="4" fillId="2" borderId="2" xfId="0" applyNumberFormat="1" applyFont="1" applyFill="1" applyBorder="1"/>
    <x:xf numFmtId="0" fontId="7" fillId="0" borderId="2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wrapText="1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2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1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2" xfId="0" applyNumberFormat="1" applyFont="1" applyFill="1" applyBorder="1"/>
    <x:xf numFmtId="202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wrapText="1"/>
    </x:xf>
    <x:xf numFmtId="202" fontId="1" fillId="0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b839636364340" /><Relationship Type="http://schemas.openxmlformats.org/officeDocument/2006/relationships/theme" Target="/xl/theme/theme1.xml" Id="R67f514c2c03345b9" /><Relationship Type="http://schemas.openxmlformats.org/officeDocument/2006/relationships/sharedStrings" Target="/xl/sharedStrings.xml" Id="R68018a9f478d4c67" /><Relationship Type="http://schemas.openxmlformats.org/officeDocument/2006/relationships/worksheet" Target="/xl/worksheets/sheet1.xml" Id="Ra975d27bf7a54d8f" /><Relationship Type="http://schemas.openxmlformats.org/officeDocument/2006/relationships/worksheet" Target="/xl/worksheets/sheet2.xml" Id="Re0e33c8adfd24ecc" /><Relationship Type="http://schemas.openxmlformats.org/officeDocument/2006/relationships/worksheet" Target="/xl/worksheets/sheet3.xml" Id="Rd08cc50af39a471f" /><Relationship Type="http://schemas.openxmlformats.org/officeDocument/2006/relationships/worksheet" Target="/xl/worksheets/sheet4.xml" Id="Ra04cedca9de246f1" /><Relationship Type="http://schemas.openxmlformats.org/officeDocument/2006/relationships/worksheet" Target="/xl/worksheets/sheet5.xml" Id="R517bb6b0ff014f20" /><Relationship Type="http://schemas.openxmlformats.org/officeDocument/2006/relationships/worksheet" Target="/xl/worksheets/sheet6.xml" Id="Ra16e608453ac4f8d" /><Relationship Type="http://schemas.openxmlformats.org/officeDocument/2006/relationships/worksheet" Target="/xl/worksheets/sheet7.xml" Id="Rcf117db52c164261" /><Relationship Type="http://schemas.openxmlformats.org/officeDocument/2006/relationships/worksheet" Target="/xl/worksheets/sheet8.xml" Id="R0fcaabd5e7d44b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9f1cd9050fb4f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Tendencia ilustrativa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Valor</c:v>
          </c:tx>
          <c:marker>
            <c:symbol val="none"/>
          </c:marker>
          <c:cat>
            <c:strRef>
              <c:f>'06 Tendencias'!$I$24:$I$30</c:f>
              <c:strCache>
                <c:ptCount val="0"/>
              </c:strCache>
            </c:strRef>
          </c:cat>
          <c:val>
            <c:numRef>
              <c:f>'06 Tendencias'!$J$24:$J$30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32</xdr:row>
      <xdr:rowOff>0</xdr:rowOff>
    </xdr:from>
    <xdr:to>
      <xdr:col>15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f1cd9050fb4f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c8e79e1215354d54" /></Relationships>
</file>

<file path=xl/worksheets/sheet1.xml><?xml version="1.0" encoding="utf-8"?>
<x:worksheet xmlns:x="http://schemas.openxmlformats.org/spreadsheetml/2006/main">
  <x:sheetPr>
    <x:tabColor rgb="FF11111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Fichas de trabajo: Storytelling y diseño ejecutivo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Ejercicios para transformar métricas bancarias en mensajes claros, páginas ejecutivas y narrativas de tendencias.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8" t="str">
        <x:v>CÓMO USAR EL LIBRO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8" customHeight="1">
      <x:c r="A8" s="11" t="str">
        <x:v>1</x:v>
      </x:c>
      <x:c r="B8" s="13" t="str">
        <x:v>Seleccione un KPI</x:v>
      </x:c>
      <x:c r="C8" s="13"/>
      <x:c r="D8" s="13"/>
      <x:c r="E8" s="14" t="str">
        <x:v>Trabaje con una métrica que tenga definición, periodo y referencia.</x:v>
      </x:c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 ht="38" customHeight="1">
      <x:c r="A9" s="11" t="str">
        <x:v>2</x:v>
      </x:c>
      <x:c r="B9" s="13" t="str">
        <x:v>Complete la ficha</x:v>
      </x:c>
      <x:c r="C9" s="13"/>
      <x:c r="D9" s="13"/>
      <x:c r="E9" s="14" t="str">
        <x:v>Las celdas amarillas contienen los campos que debe responder el alumno.</x:v>
      </x:c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 ht="38" customHeight="1">
      <x:c r="A10" s="11" t="str">
        <x:v>3</x:v>
      </x:c>
      <x:c r="B10" s="13" t="str">
        <x:v>Compare con el ejemplo</x:v>
      </x:c>
      <x:c r="C10" s="13"/>
      <x:c r="D10" s="13"/>
      <x:c r="E10" s="14" t="str">
        <x:v>El lado derecho muestra una solución posible con datos ilustrativos.</x:v>
      </x:c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 ht="38" customHeight="1">
      <x:c r="A11" s="11" t="str">
        <x:v>4</x:v>
      </x:c>
      <x:c r="B11" s="13" t="str">
        <x:v>Pruebe la narrativa</x:v>
      </x:c>
      <x:c r="C11" s="13"/>
      <x:c r="D11" s="13"/>
      <x:c r="E11" s="14" t="str">
        <x:v>Separe hechos observados, interpretación e hipótesis.</x:v>
      </x:c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 ht="38" customHeight="1">
      <x:c r="A12" s="11" t="str">
        <x:v>5</x:v>
      </x:c>
      <x:c r="B12" s="13" t="str">
        <x:v>Cierre con una decisión</x:v>
      </x:c>
      <x:c r="C12" s="13"/>
      <x:c r="D12" s="13"/>
      <x:c r="E12" s="14" t="str">
        <x:v>El entregable debe indicar qué revisar, priorizar o monitorear.</x:v>
      </x:c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 ht="38" customHeight="1">
      <x:c r="A13" s="11" t="str">
        <x:v>6</x:v>
      </x:c>
      <x:c r="B13" s="13" t="str">
        <x:v>Integre los temas</x:v>
      </x:c>
      <x:c r="C13" s="13"/>
      <x:c r="D13" s="13"/>
      <x:c r="E13" s="14" t="str">
        <x:v>La última hoja combina las seis técnicas en un caso único.</x:v>
      </x:c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8" t="str">
        <x:v>CONTENIDO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6" customHeight="1">
      <x:c r="A18" s="19" t="str">
        <x:v>Hoja</x:v>
      </x:c>
      <x:c r="B18" s="19" t="str">
        <x:v>Tema</x:v>
      </x:c>
      <x:c r="C18" s="19" t="str">
        <x:v>Producto</x:v>
      </x:c>
      <x:c r="D18" s="19" t="str"/>
      <x:c r="E18" s="19" t="str"/>
      <x:c r="F18" s="19" t="str"/>
      <x:c r="G18" s="19" t="str"/>
      <x:c r="H18" s="19" t="str"/>
      <x:c r="I18" s="19" t="str"/>
      <x:c r="J18" s="19" t="str"/>
      <x:c r="K18" s="19" t="str"/>
      <x:c r="L18" s="19" t="str"/>
      <x:c r="M18" s="19" t="str"/>
      <x:c r="N18" s="19" t="str"/>
      <x:c r="O18" s="19" t="str"/>
    </x:row>
    <x:row r="19" ht="34" customHeight="1">
      <x:c r="A19" s="20" t="str">
        <x:v>01 Storytelling</x:v>
      </x:c>
      <x:c r="B19" s="21" t="str">
        <x:v>Principios de storytelling</x:v>
      </x:c>
      <x:c r="C19" s="21" t="str">
        <x:v>Historia con contexto, tensión y resolución</x:v>
      </x:c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  <x:c r="L19" s="21" t="str"/>
      <x:c r="M19" s="21" t="str"/>
      <x:c r="N19" s="21" t="str"/>
      <x:c r="O19" s="21" t="str"/>
    </x:row>
    <x:row r="20" ht="34" customHeight="1">
      <x:c r="A20" s="20" t="str">
        <x:v>02 KPI Insight</x:v>
      </x:c>
      <x:c r="B20" s="21" t="str">
        <x:v>De KPI a insight</x:v>
      </x:c>
      <x:c r="C20" s="21" t="str">
        <x:v>Insight con comparación y concentración</x:v>
      </x:c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  <x:c r="L20" s="21" t="str"/>
      <x:c r="M20" s="21" t="str"/>
      <x:c r="N20" s="21" t="str"/>
      <x:c r="O20" s="21" t="str"/>
    </x:row>
    <x:row r="21" ht="34" customHeight="1">
      <x:c r="A21" s="20" t="str">
        <x:v>03 Dashboard</x:v>
      </x:c>
      <x:c r="B21" s="21" t="str">
        <x:v>Diseño para decisiones</x:v>
      </x:c>
      <x:c r="C21" s="21" t="str">
        <x:v>Arquitectura de una página ejecutiva</x:v>
      </x:c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  <x:c r="L21" s="21" t="str"/>
      <x:c r="M21" s="21" t="str"/>
      <x:c r="N21" s="21" t="str"/>
      <x:c r="O21" s="21" t="str"/>
    </x:row>
    <x:row r="22" ht="34" customHeight="1">
      <x:c r="A22" s="20" t="str">
        <x:v>04 Jerarquía</x:v>
      </x:c>
      <x:c r="B22" s="21" t="str">
        <x:v>Gestión de la atención</x:v>
      </x:c>
      <x:c r="C22" s="21" t="str">
        <x:v>Orden de lectura y revisión visual</x:v>
      </x:c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  <x:c r="L22" s="21" t="str"/>
      <x:c r="M22" s="21" t="str"/>
      <x:c r="N22" s="21" t="str"/>
      <x:c r="O22" s="21" t="str"/>
    </x:row>
    <x:row r="23" ht="34" customHeight="1">
      <x:c r="A23" s="20" t="str">
        <x:v>05 KPI estándar</x:v>
      </x:c>
      <x:c r="B23" s="21" t="str">
        <x:v>Definición de KPIs</x:v>
      </x:c>
      <x:c r="C23" s="21" t="str">
        <x:v>Ficha técnica y fórmula documentada</x:v>
      </x:c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  <x:c r="L23" s="21" t="str"/>
      <x:c r="M23" s="21" t="str"/>
      <x:c r="N23" s="21" t="str"/>
      <x:c r="O23" s="21" t="str"/>
    </x:row>
    <x:row r="24" ht="34" customHeight="1">
      <x:c r="A24" s="20" t="str">
        <x:v>06 Tendencias</x:v>
      </x:c>
      <x:c r="B24" s="21" t="str">
        <x:v>Narrativa de tendencias</x:v>
      </x:c>
      <x:c r="C24" s="21" t="str">
        <x:v>Guion de resultado, cambio y acción</x:v>
      </x:c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  <x:c r="L24" s="21" t="str"/>
      <x:c r="M24" s="21" t="str"/>
      <x:c r="N24" s="21" t="str"/>
      <x:c r="O24" s="21" t="str"/>
    </x:row>
    <x:row r="25" ht="34" customHeight="1">
      <x:c r="A25" s="20" t="str">
        <x:v>07 Integrador</x:v>
      </x:c>
      <x:c r="B25" s="21" t="str">
        <x:v>Aplicación conjunta</x:v>
      </x:c>
      <x:c r="C25" s="21" t="str">
        <x:v>Brief ejecutivo listo para Power BI</x:v>
      </x:c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  <x:c r="L25" s="21" t="str"/>
      <x:c r="M25" s="21" t="str"/>
      <x:c r="N25" s="21" t="str"/>
      <x:c r="O25" s="21" t="str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O6"/>
    <x:mergeCell ref="B8:D8"/>
    <x:mergeCell ref="E8:O8"/>
    <x:mergeCell ref="B9:D9"/>
    <x:mergeCell ref="E9:O9"/>
    <x:mergeCell ref="B10:D10"/>
    <x:mergeCell ref="E10:O10"/>
    <x:mergeCell ref="B11:D11"/>
    <x:mergeCell ref="E11:O11"/>
    <x:mergeCell ref="B12:D12"/>
    <x:mergeCell ref="E12:O12"/>
    <x:mergeCell ref="B13:D13"/>
    <x:mergeCell ref="E13:O13"/>
    <x:mergeCell ref="A16:O16"/>
    <x:mergeCell ref="B18:H18"/>
    <x:mergeCell ref="I18:O18"/>
    <x:mergeCell ref="B19:H19"/>
    <x:mergeCell ref="I19:O19"/>
    <x:mergeCell ref="B20:H20"/>
    <x:mergeCell ref="I20:O20"/>
    <x:mergeCell ref="B21:H21"/>
    <x:mergeCell ref="I21:O21"/>
    <x:mergeCell ref="B22:H22"/>
    <x:mergeCell ref="I22:O22"/>
    <x:mergeCell ref="B23:H23"/>
    <x:mergeCell ref="I23:O23"/>
    <x:mergeCell ref="B24:H24"/>
    <x:mergeCell ref="I24:O24"/>
    <x:mergeCell ref="B25:H25"/>
    <x:mergeCell ref="I25:O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1. Principios de storytelling con datos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Construya una historia breve a partir de evidencia, significado y una decisión concreta.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4" customHeight="1">
      <x:c r="A7" s="26" t="str">
        <x:v>Audiencia</x:v>
      </x:c>
      <x:c r="B7" s="26"/>
      <x:c r="C7" s="30" t="str">
        <x:v>Rol que recibirá el mensaje</x:v>
      </x:c>
      <x:c r="D7" s="30"/>
      <x:c r="E7" s="30"/>
      <x:c r="F7" s="30"/>
      <x:c r="G7" s="30"/>
      <x:c r="H7" s="1"/>
      <x:c r="I7" s="26" t="str">
        <x:v>Audiencia</x:v>
      </x:c>
      <x:c r="J7" s="26"/>
      <x:c r="K7" s="33" t="str">
        <x:v>Dirección de Operaciones</x:v>
      </x:c>
      <x:c r="L7" s="33"/>
      <x:c r="M7" s="33"/>
      <x:c r="N7" s="33"/>
      <x:c r="O7" s="33"/>
    </x:row>
    <x:row r="8" ht="34" customHeight="1">
      <x:c r="A8" s="26" t="str">
        <x:v>Decisión</x:v>
      </x:c>
      <x:c r="B8" s="26"/>
      <x:c r="C8" s="30" t="str">
        <x:v>¿Qué debe decidir o revisar?</x:v>
      </x:c>
      <x:c r="D8" s="30"/>
      <x:c r="E8" s="30"/>
      <x:c r="F8" s="30"/>
      <x:c r="G8" s="30"/>
      <x:c r="H8" s="1"/>
      <x:c r="I8" s="26" t="str">
        <x:v>Decisión</x:v>
      </x:c>
      <x:c r="J8" s="26"/>
      <x:c r="K8" s="33" t="str">
        <x:v>Priorizar el análisis del aumento de rechazos</x:v>
      </x:c>
      <x:c r="L8" s="33"/>
      <x:c r="M8" s="33"/>
      <x:c r="N8" s="33"/>
      <x:c r="O8" s="33"/>
    </x:row>
    <x:row r="9" ht="39" customHeight="1">
      <x:c r="A9" s="26" t="str">
        <x:v>Contexto</x:v>
      </x:c>
      <x:c r="B9" s="26"/>
      <x:c r="C9" s="30" t="str">
        <x:v>Situación, periodo y referencia</x:v>
      </x:c>
      <x:c r="D9" s="30"/>
      <x:c r="E9" s="30"/>
      <x:c r="F9" s="30"/>
      <x:c r="G9" s="30"/>
      <x:c r="H9" s="1"/>
      <x:c r="I9" s="26" t="str">
        <x:v>Contexto</x:v>
      </x:c>
      <x:c r="J9" s="26"/>
      <x:c r="K9" s="33" t="str">
        <x:v>La tasa permaneció cerca de 3 % durante tres periodos</x:v>
      </x:c>
      <x:c r="L9" s="33"/>
      <x:c r="M9" s="33"/>
      <x:c r="N9" s="33"/>
      <x:c r="O9" s="33"/>
    </x:row>
    <x:row r="10" ht="39" customHeight="1">
      <x:c r="A10" s="26" t="str">
        <x:v>Tensión</x:v>
      </x:c>
      <x:c r="B10" s="26"/>
      <x:c r="C10" s="30" t="str">
        <x:v>Brecha o cambio comprobable</x:v>
      </x:c>
      <x:c r="D10" s="30"/>
      <x:c r="E10" s="30"/>
      <x:c r="F10" s="30"/>
      <x:c r="G10" s="30"/>
      <x:c r="H10" s="1"/>
      <x:c r="I10" s="26" t="str">
        <x:v>Tensión</x:v>
      </x:c>
      <x:c r="J10" s="26"/>
      <x:c r="K10" s="33" t="str">
        <x:v>Subió a 4.6 % y acumula dos periodos de deterioro</x:v>
      </x:c>
      <x:c r="L10" s="33"/>
      <x:c r="M10" s="33"/>
      <x:c r="N10" s="33"/>
      <x:c r="O10" s="33"/>
    </x:row>
    <x:row r="11" ht="39" customHeight="1">
      <x:c r="A11" s="26" t="str">
        <x:v>Evidencia</x:v>
      </x:c>
      <x:c r="B11" s="26"/>
      <x:c r="C11" s="30" t="str">
        <x:v>Datos que respaldan la tensión</x:v>
      </x:c>
      <x:c r="D11" s="30"/>
      <x:c r="E11" s="30"/>
      <x:c r="F11" s="30"/>
      <x:c r="G11" s="30"/>
      <x:c r="H11" s="1"/>
      <x:c r="I11" s="26" t="str">
        <x:v>Evidencia</x:v>
      </x:c>
      <x:c r="J11" s="26"/>
      <x:c r="K11" s="33" t="str">
        <x:v>La mayor contribución al aumento proviene del canal móvil</x:v>
      </x:c>
      <x:c r="L11" s="33"/>
      <x:c r="M11" s="33"/>
      <x:c r="N11" s="33"/>
      <x:c r="O11" s="33"/>
    </x:row>
    <x:row r="12" ht="39" customHeight="1">
      <x:c r="A12" s="26" t="str">
        <x:v>Interpretación</x:v>
      </x:c>
      <x:c r="B12" s="26"/>
      <x:c r="C12" s="30" t="str">
        <x:v>Qué significa sin exceder la evidencia</x:v>
      </x:c>
      <x:c r="D12" s="30"/>
      <x:c r="E12" s="30"/>
      <x:c r="F12" s="30"/>
      <x:c r="G12" s="30"/>
      <x:c r="H12" s="1"/>
      <x:c r="I12" s="26" t="str">
        <x:v>Interpretación</x:v>
      </x:c>
      <x:c r="J12" s="26"/>
      <x:c r="K12" s="33" t="str">
        <x:v>El cambio está concentrado y requiere revisar causas del canal</x:v>
      </x:c>
      <x:c r="L12" s="33"/>
      <x:c r="M12" s="33"/>
      <x:c r="N12" s="33"/>
      <x:c r="O12" s="33"/>
    </x:row>
    <x:row r="13" ht="39" customHeight="1">
      <x:c r="A13" s="26" t="str">
        <x:v>Resolución</x:v>
      </x:c>
      <x:c r="B13" s="26"/>
      <x:c r="C13" s="30" t="str">
        <x:v>Acción o siguiente análisis</x:v>
      </x:c>
      <x:c r="D13" s="30"/>
      <x:c r="E13" s="30"/>
      <x:c r="F13" s="30"/>
      <x:c r="G13" s="30"/>
      <x:c r="H13" s="1"/>
      <x:c r="I13" s="26" t="str">
        <x:v>Resolución</x:v>
      </x:c>
      <x:c r="J13" s="26"/>
      <x:c r="K13" s="33" t="str">
        <x:v>Separar rechazos por causa, importe y versión de la aplicación</x:v>
      </x:c>
      <x:c r="L13" s="33"/>
      <x:c r="M13" s="33"/>
      <x:c r="N13" s="33"/>
      <x:c r="O13" s="33"/>
    </x:row>
    <x:row r="14" ht="39" customHeight="1">
      <x:c r="A14" s="26" t="str">
        <x:v>Límite</x:v>
      </x:c>
      <x:c r="B14" s="26"/>
      <x:c r="C14" s="30" t="str">
        <x:v>Qué todavía no puede afirmarse</x:v>
      </x:c>
      <x:c r="D14" s="30"/>
      <x:c r="E14" s="30"/>
      <x:c r="F14" s="30"/>
      <x:c r="G14" s="30"/>
      <x:c r="H14" s="1"/>
      <x:c r="I14" s="26" t="str">
        <x:v>Límite</x:v>
      </x:c>
      <x:c r="J14" s="26"/>
      <x:c r="K14" s="33" t="str">
        <x:v>La tendencia no demuestra una causa raíz</x:v>
      </x:c>
      <x:c r="L14" s="33"/>
      <x:c r="M14" s="33"/>
      <x:c r="N14" s="33"/>
      <x:c r="O14" s="33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46" customHeight="1">
      <x:c r="A17" s="34" t="str">
        <x:v>Entregable</x:v>
      </x:c>
      <x:c r="B17" s="34"/>
      <x:c r="C17" s="38" t="str">
        <x:v>Redacte o construya el producto solicitado.</x:v>
      </x:c>
      <x:c r="D17" s="38"/>
      <x:c r="E17" s="38"/>
      <x:c r="F17" s="38"/>
      <x:c r="G17" s="38"/>
      <x:c r="H17" s="1"/>
      <x:c r="I17" s="34" t="str">
        <x:v>Resultado del ejemplo</x:v>
      </x:c>
      <x:c r="J17" s="34"/>
      <x:c r="K17" s="38" t="str">
        <x:v>Historia ejecutiva de 45 segundos que distingue hechos, interpretación y siguiente acción.</x:v>
      </x:c>
      <x:c r="L17" s="38"/>
      <x:c r="M17" s="38"/>
      <x:c r="N17" s="38"/>
      <x:c r="O17" s="38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8" t="str">
        <x:v>EJERCICIO DE REVISIÓN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40" t="str">
        <x:v>Control</x:v>
      </x:c>
      <x:c r="B22" s="40" t="str">
        <x:v>Respuesta</x:v>
      </x:c>
      <x:c r="C22" s="40"/>
      <x:c r="D22" s="40"/>
      <x:c r="E22" s="40"/>
      <x:c r="F22" s="40"/>
      <x:c r="G22" s="40"/>
      <x:c r="H22" s="1"/>
      <x:c r="I22" s="40" t="str">
        <x:v>Control</x:v>
      </x:c>
      <x:c r="J22" s="40" t="str">
        <x:v>Ejemplo</x:v>
      </x:c>
      <x:c r="K22" s="40" t="str"/>
      <x:c r="L22" s="40" t="str"/>
      <x:c r="M22" s="40" t="str"/>
      <x:c r="N22" s="40" t="str"/>
      <x:c r="O22" s="40" t="str"/>
    </x:row>
    <x:row r="23">
      <x:c r="A23" s="21" t="str">
        <x:v>¿Existe una referencia?</x:v>
      </x:c>
      <x:c r="B23" s="41" t="str"/>
      <x:c r="C23" s="41"/>
      <x:c r="D23" s="41"/>
      <x:c r="E23" s="41"/>
      <x:c r="F23" s="41"/>
      <x:c r="G23" s="41"/>
      <x:c r="H23" s="1"/>
      <x:c r="I23" s="21" t="str">
        <x:v>Referencia</x:v>
      </x:c>
      <x:c r="J23" s="21" t="str">
        <x:v>Promedio cercano a 3 %</x:v>
      </x:c>
      <x:c r="K23" s="21" t="str"/>
      <x:c r="L23" s="21" t="str"/>
      <x:c r="M23" s="21" t="str"/>
      <x:c r="N23" s="21" t="str"/>
      <x:c r="O23" s="21" t="str"/>
    </x:row>
    <x:row r="24">
      <x:c r="A24" s="21" t="str">
        <x:v>¿La tensión se cuantifica?</x:v>
      </x:c>
      <x:c r="B24" s="41" t="str"/>
      <x:c r="C24" s="41"/>
      <x:c r="D24" s="41"/>
      <x:c r="E24" s="41"/>
      <x:c r="F24" s="41"/>
      <x:c r="G24" s="41"/>
      <x:c r="H24" s="1"/>
      <x:c r="I24" s="21" t="str">
        <x:v>Magnitud</x:v>
      </x:c>
      <x:c r="J24" s="21" t="str">
        <x:v>4.6 %, aumento de 1.6 puntos</x:v>
      </x:c>
      <x:c r="K24" s="21" t="str"/>
      <x:c r="L24" s="21" t="str"/>
      <x:c r="M24" s="21" t="str"/>
      <x:c r="N24" s="21" t="str"/>
      <x:c r="O24" s="21" t="str"/>
    </x:row>
    <x:row r="25">
      <x:c r="A25" s="21" t="str">
        <x:v>¿La causa está demostrada?</x:v>
      </x:c>
      <x:c r="B25" s="41" t="str"/>
      <x:c r="C25" s="41"/>
      <x:c r="D25" s="41"/>
      <x:c r="E25" s="41"/>
      <x:c r="F25" s="41"/>
      <x:c r="G25" s="41"/>
      <x:c r="H25" s="1"/>
      <x:c r="I25" s="21" t="str">
        <x:v>Causalidad</x:v>
      </x:c>
      <x:c r="J25" s="21" t="str">
        <x:v>Pendiente de validación</x:v>
      </x:c>
      <x:c r="K25" s="21" t="str"/>
      <x:c r="L25" s="21" t="str"/>
      <x:c r="M25" s="21" t="str"/>
      <x:c r="N25" s="21" t="str"/>
      <x:c r="O25" s="21" t="str"/>
    </x:row>
    <x:row r="26">
      <x:c r="A26" s="21" t="str">
        <x:v>¿La acción corresponde a la evidencia?</x:v>
      </x:c>
      <x:c r="B26" s="41" t="str"/>
      <x:c r="C26" s="41"/>
      <x:c r="D26" s="41"/>
      <x:c r="E26" s="41"/>
      <x:c r="F26" s="41"/>
      <x:c r="G26" s="41"/>
      <x:c r="H26" s="1"/>
      <x:c r="I26" s="21" t="str">
        <x:v>Acción</x:v>
      </x:c>
      <x:c r="J26" s="21" t="str">
        <x:v>Investigar el canal que concentra el cambio</x:v>
      </x:c>
      <x:c r="K26" s="21" t="str"/>
      <x:c r="L26" s="21" t="str"/>
      <x:c r="M26" s="21" t="str"/>
      <x:c r="N26" s="21" t="str"/>
      <x:c r="O26" s="21" t="str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7:B17"/>
    <x:mergeCell ref="C17:G17"/>
    <x:mergeCell ref="I17:J17"/>
    <x:mergeCell ref="K17:O17"/>
    <x:mergeCell ref="A20:O20"/>
    <x:mergeCell ref="B22:G22"/>
    <x:mergeCell ref="B23:G23"/>
    <x:mergeCell ref="B24:G24"/>
    <x:mergeCell ref="B25:G25"/>
    <x:mergeCell ref="B26:G26"/>
    <x:mergeCell ref="J22:O22"/>
    <x:mergeCell ref="J23:O23"/>
    <x:mergeCell ref="J24:O24"/>
    <x:mergeCell ref="J25:O25"/>
    <x:mergeCell ref="J26:O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2. De KPI a insight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Añada comparación, segmentación e implicación hasta convertir un valor aislado en una conclusión útil.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4" customHeight="1">
      <x:c r="A7" s="26" t="str">
        <x:v>KPI</x:v>
      </x:c>
      <x:c r="B7" s="26"/>
      <x:c r="C7" s="30" t="str">
        <x:v>Nombre, unidad y población</x:v>
      </x:c>
      <x:c r="D7" s="30"/>
      <x:c r="E7" s="30"/>
      <x:c r="F7" s="30"/>
      <x:c r="G7" s="30"/>
      <x:c r="H7" s="1"/>
      <x:c r="I7" s="26" t="str">
        <x:v>KPI</x:v>
      </x:c>
      <x:c r="J7" s="26"/>
      <x:c r="K7" s="33" t="str">
        <x:v>Tasa de rechazo de transacciones</x:v>
      </x:c>
      <x:c r="L7" s="33"/>
      <x:c r="M7" s="33"/>
      <x:c r="N7" s="33"/>
      <x:c r="O7" s="33"/>
    </x:row>
    <x:row r="8" ht="34" customHeight="1">
      <x:c r="A8" s="26" t="str">
        <x:v>Valor actual</x:v>
      </x:c>
      <x:c r="B8" s="26"/>
      <x:c r="C8" s="30" t="str">
        <x:v>Resultado del periodo</x:v>
      </x:c>
      <x:c r="D8" s="30"/>
      <x:c r="E8" s="30"/>
      <x:c r="F8" s="30"/>
      <x:c r="G8" s="30"/>
      <x:c r="H8" s="1"/>
      <x:c r="I8" s="26" t="str">
        <x:v>Valor actual</x:v>
      </x:c>
      <x:c r="J8" s="26"/>
      <x:c r="K8" s="33" t="str">
        <x:v>4.6 %</x:v>
      </x:c>
      <x:c r="L8" s="33"/>
      <x:c r="M8" s="33"/>
      <x:c r="N8" s="33"/>
      <x:c r="O8" s="33"/>
    </x:row>
    <x:row r="9" ht="34" customHeight="1">
      <x:c r="A9" s="26" t="str">
        <x:v>Referencia</x:v>
      </x:c>
      <x:c r="B9" s="26"/>
      <x:c r="C9" s="30" t="str">
        <x:v>Objetivo o periodo comparable</x:v>
      </x:c>
      <x:c r="D9" s="30"/>
      <x:c r="E9" s="30"/>
      <x:c r="F9" s="30"/>
      <x:c r="G9" s="30"/>
      <x:c r="H9" s="1"/>
      <x:c r="I9" s="26" t="str">
        <x:v>Referencia</x:v>
      </x:c>
      <x:c r="J9" s="26"/>
      <x:c r="K9" s="33" t="str">
        <x:v>3.0 % en el periodo base</x:v>
      </x:c>
      <x:c r="L9" s="33"/>
      <x:c r="M9" s="33"/>
      <x:c r="N9" s="33"/>
      <x:c r="O9" s="33"/>
    </x:row>
    <x:row r="10" ht="34" customHeight="1">
      <x:c r="A10" s="26" t="str">
        <x:v>Variación</x:v>
      </x:c>
      <x:c r="B10" s="26"/>
      <x:c r="C10" s="30" t="str">
        <x:v>Diferencia absoluta o porcentual</x:v>
      </x:c>
      <x:c r="D10" s="30"/>
      <x:c r="E10" s="30"/>
      <x:c r="F10" s="30"/>
      <x:c r="G10" s="30"/>
      <x:c r="H10" s="1"/>
      <x:c r="I10" s="26" t="str">
        <x:v>Variación</x:v>
      </x:c>
      <x:c r="J10" s="26"/>
      <x:c r="K10" s="33" t="str">
        <x:v>+1.6 puntos porcentuales</x:v>
      </x:c>
      <x:c r="L10" s="33"/>
      <x:c r="M10" s="33"/>
      <x:c r="N10" s="33"/>
      <x:c r="O10" s="33"/>
    </x:row>
    <x:row r="11" ht="34" customHeight="1">
      <x:c r="A11" s="26" t="str">
        <x:v>Segmento principal</x:v>
      </x:c>
      <x:c r="B11" s="26"/>
      <x:c r="C11" s="30" t="str">
        <x:v>Dónde se concentra</x:v>
      </x:c>
      <x:c r="D11" s="30"/>
      <x:c r="E11" s="30"/>
      <x:c r="F11" s="30"/>
      <x:c r="G11" s="30"/>
      <x:c r="H11" s="1"/>
      <x:c r="I11" s="26" t="str">
        <x:v>Segmento principal</x:v>
      </x:c>
      <x:c r="J11" s="26"/>
      <x:c r="K11" s="33" t="str">
        <x:v>Canal móvil</x:v>
      </x:c>
      <x:c r="L11" s="33"/>
      <x:c r="M11" s="33"/>
      <x:c r="N11" s="33"/>
      <x:c r="O11" s="33"/>
    </x:row>
    <x:row r="12" ht="34" customHeight="1">
      <x:c r="A12" s="26" t="str">
        <x:v>Contribución</x:v>
      </x:c>
      <x:c r="B12" s="26"/>
      <x:c r="C12" s="30" t="str">
        <x:v>Cuánto explica el segmento</x:v>
      </x:c>
      <x:c r="D12" s="30"/>
      <x:c r="E12" s="30"/>
      <x:c r="F12" s="30"/>
      <x:c r="G12" s="30"/>
      <x:c r="H12" s="1"/>
      <x:c r="I12" s="26" t="str">
        <x:v>Contribución</x:v>
      </x:c>
      <x:c r="J12" s="26"/>
      <x:c r="K12" s="33" t="str">
        <x:v>68 % del aumento</x:v>
      </x:c>
      <x:c r="L12" s="33"/>
      <x:c r="M12" s="33"/>
      <x:c r="N12" s="33"/>
      <x:c r="O12" s="33"/>
    </x:row>
    <x:row r="13" ht="34" customHeight="1">
      <x:c r="A13" s="26" t="str">
        <x:v>Impacto</x:v>
      </x:c>
      <x:c r="B13" s="26"/>
      <x:c r="C13" s="30" t="str">
        <x:v>Consecuencia de negocio</x:v>
      </x:c>
      <x:c r="D13" s="30"/>
      <x:c r="E13" s="30"/>
      <x:c r="F13" s="30"/>
      <x:c r="G13" s="30"/>
      <x:c r="H13" s="1"/>
      <x:c r="I13" s="26" t="str">
        <x:v>Impacto</x:v>
      </x:c>
      <x:c r="J13" s="26"/>
      <x:c r="K13" s="33" t="str">
        <x:v>Más fricción y menor conversión</x:v>
      </x:c>
      <x:c r="L13" s="33"/>
      <x:c r="M13" s="33"/>
      <x:c r="N13" s="33"/>
      <x:c r="O13" s="33"/>
    </x:row>
    <x:row r="14" ht="46" customHeight="1">
      <x:c r="A14" s="26" t="str">
        <x:v>Insight</x:v>
      </x:c>
      <x:c r="B14" s="26"/>
      <x:c r="C14" s="30" t="str">
        <x:v>Resultado, referencia y concentración</x:v>
      </x:c>
      <x:c r="D14" s="30"/>
      <x:c r="E14" s="30"/>
      <x:c r="F14" s="30"/>
      <x:c r="G14" s="30"/>
      <x:c r="H14" s="1"/>
      <x:c r="I14" s="26" t="str">
        <x:v>Insight</x:v>
      </x:c>
      <x:c r="J14" s="26"/>
      <x:c r="K14" s="33" t="str">
        <x:v>El rechazo supera la base en 1.6 puntos y el canal móvil concentra 68 % del aumento.</x:v>
      </x:c>
      <x:c r="L14" s="33"/>
      <x:c r="M14" s="33"/>
      <x:c r="N14" s="33"/>
      <x:c r="O14" s="33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46" customHeight="1">
      <x:c r="A17" s="34" t="str">
        <x:v>Entregable</x:v>
      </x:c>
      <x:c r="B17" s="34"/>
      <x:c r="C17" s="38" t="str">
        <x:v>Redacte o construya el producto solicitado.</x:v>
      </x:c>
      <x:c r="D17" s="38"/>
      <x:c r="E17" s="38"/>
      <x:c r="F17" s="38"/>
      <x:c r="G17" s="38"/>
      <x:c r="H17" s="1"/>
      <x:c r="I17" s="34" t="str">
        <x:v>Resultado del ejemplo</x:v>
      </x:c>
      <x:c r="J17" s="34"/>
      <x:c r="K17" s="38" t="str">
        <x:v>Una frase de insight respaldada por el cálculo y una pregunta para profundizar.</x:v>
      </x:c>
      <x:c r="L17" s="38"/>
      <x:c r="M17" s="38"/>
      <x:c r="N17" s="38"/>
      <x:c r="O17" s="38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8" t="str">
        <x:v>CÁLCULO DEL EJEMPLO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40" t="str">
        <x:v>Dato requerido</x:v>
      </x:c>
      <x:c r="B22" s="40" t="str">
        <x:v>Valor</x:v>
      </x:c>
      <x:c r="C22" s="40" t="str"/>
      <x:c r="D22" s="40" t="str"/>
      <x:c r="E22" s="40" t="str"/>
      <x:c r="F22" s="40" t="str"/>
      <x:c r="G22" s="40" t="str"/>
      <x:c r="H22" s="1"/>
      <x:c r="I22" s="40" t="str">
        <x:v>Métrica</x:v>
      </x:c>
      <x:c r="J22" s="40" t="str">
        <x:v>Base</x:v>
      </x:c>
      <x:c r="K22" s="40" t="str">
        <x:v>Actual</x:v>
      </x:c>
      <x:c r="L22" s="40" t="str">
        <x:v>Resultado</x:v>
      </x:c>
      <x:c r="M22" s="40" t="str">
        <x:v>Unidad</x:v>
      </x:c>
      <x:c r="N22" s="40" t="str">
        <x:v>Uso</x:v>
      </x:c>
      <x:c r="O22" s="40" t="str"/>
    </x:row>
    <x:row r="23">
      <x:c r="A23" s="21" t="str">
        <x:v>Intentos base</x:v>
      </x:c>
      <x:c r="B23" s="41" t="str"/>
      <x:c r="C23" s="41" t="str"/>
      <x:c r="D23" s="41" t="str"/>
      <x:c r="E23" s="41" t="str"/>
      <x:c r="F23" s="41" t="str"/>
      <x:c r="G23" s="41" t="str"/>
      <x:c r="H23" s="1"/>
      <x:c r="I23" s="21" t="str">
        <x:v>Intentos</x:v>
      </x:c>
      <x:c r="J23" s="21" t="n">
        <x:v>100000</x:v>
      </x:c>
      <x:c r="K23" s="21" t="n">
        <x:v>110000</x:v>
      </x:c>
      <x:c r="L23" s="21" t="str"/>
      <x:c r="M23" s="21" t="str">
        <x:v>transacciones</x:v>
      </x:c>
      <x:c r="N23" s="21" t="str">
        <x:v>Denominador</x:v>
      </x:c>
      <x:c r="O23" s="21" t="str"/>
    </x:row>
    <x:row r="24">
      <x:c r="A24" s="21" t="str">
        <x:v>Rechazos base</x:v>
      </x:c>
      <x:c r="B24" s="41" t="str"/>
      <x:c r="C24" s="41" t="str"/>
      <x:c r="D24" s="41" t="str"/>
      <x:c r="E24" s="41" t="str"/>
      <x:c r="F24" s="41" t="str"/>
      <x:c r="G24" s="41" t="str"/>
      <x:c r="H24" s="1"/>
      <x:c r="I24" s="21" t="str">
        <x:v>Rechazos</x:v>
      </x:c>
      <x:c r="J24" s="21" t="n">
        <x:v>3000</x:v>
      </x:c>
      <x:c r="K24" s="21" t="n">
        <x:v>5060</x:v>
      </x:c>
      <x:c r="L24" s="21" t="str"/>
      <x:c r="M24" s="21" t="str">
        <x:v>transacciones</x:v>
      </x:c>
      <x:c r="N24" s="21" t="str">
        <x:v>Numerador</x:v>
      </x:c>
      <x:c r="O24" s="21" t="str"/>
    </x:row>
    <x:row r="25">
      <x:c r="A25" s="21" t="str">
        <x:v>Intentos actuales</x:v>
      </x:c>
      <x:c r="B25" s="41" t="str"/>
      <x:c r="C25" s="41" t="str"/>
      <x:c r="D25" s="41" t="str"/>
      <x:c r="E25" s="41" t="str"/>
      <x:c r="F25" s="41" t="str"/>
      <x:c r="G25" s="41" t="str"/>
      <x:c r="H25" s="1"/>
      <x:c r="I25" s="21" t="str">
        <x:v>Tasa</x:v>
      </x:c>
      <x:c r="J25" s="21"/>
      <x:c r="K25" s="44" t="n">
        <x:f>J24/J23</x:f>
        <x:v>0.03</x:v>
      </x:c>
      <x:c r="L25" s="44" t="n">
        <x:f>K24/K23</x:f>
        <x:v>0.046</x:v>
      </x:c>
      <x:c r="M25" s="21" t="str">
        <x:v>%</x:v>
      </x:c>
      <x:c r="N25" s="21" t="str">
        <x:v>KPI</x:v>
      </x:c>
      <x:c r="O25" s="21" t="str"/>
    </x:row>
    <x:row r="26">
      <x:c r="A26" s="21" t="str">
        <x:v>Rechazos actuales</x:v>
      </x:c>
      <x:c r="B26" s="41" t="str"/>
      <x:c r="C26" s="41" t="str"/>
      <x:c r="D26" s="41" t="str"/>
      <x:c r="E26" s="41" t="str"/>
      <x:c r="F26" s="41" t="str"/>
      <x:c r="G26" s="41" t="str"/>
      <x:c r="H26" s="1"/>
      <x:c r="I26" s="21" t="str">
        <x:v>Variación</x:v>
      </x:c>
      <x:c r="J26" s="21"/>
      <x:c r="K26" s="21"/>
      <x:c r="L26" s="44" t="n">
        <x:f>L25-K25</x:f>
        <x:v>0.016</x:v>
      </x:c>
      <x:c r="M26" s="21" t="str">
        <x:v>p.p.</x:v>
      </x:c>
      <x:c r="N26" s="21" t="str">
        <x:v>Comparación</x:v>
      </x:c>
      <x:c r="O26" s="21" t="str"/>
    </x:row>
    <x:row r="27">
      <x:c r="A27" s="21" t="str">
        <x:v>Segmento que explica el cambio</x:v>
      </x:c>
      <x:c r="B27" s="41" t="str"/>
      <x:c r="C27" s="41" t="str"/>
      <x:c r="D27" s="41" t="str"/>
      <x:c r="E27" s="41" t="str"/>
      <x:c r="F27" s="41" t="str"/>
      <x:c r="G27" s="41" t="str"/>
      <x:c r="H27" s="1"/>
      <x:c r="I27" s="21" t="str">
        <x:v>Aporte móvil</x:v>
      </x:c>
      <x:c r="J27" s="21"/>
      <x:c r="K27" s="21" t="n">
        <x:v>0.68</x:v>
      </x:c>
      <x:c r="L27" s="44" t="str"/>
      <x:c r="M27" s="21" t="str">
        <x:v>%</x:v>
      </x:c>
      <x:c r="N27" s="21" t="str">
        <x:v>Concentración</x:v>
      </x:c>
      <x:c r="O27" s="21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7:B17"/>
    <x:mergeCell ref="C17:G17"/>
    <x:mergeCell ref="I17:J17"/>
    <x:mergeCell ref="K17:O17"/>
    <x:mergeCell ref="A20:O20"/>
    <x:mergeCell ref="B22:G22"/>
    <x:mergeCell ref="B23:G23"/>
    <x:mergeCell ref="B24:G24"/>
    <x:mergeCell ref="B25:G25"/>
    <x:mergeCell ref="B26:G26"/>
    <x:mergeCell ref="B27:G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3. Dashboard para toma de decisiones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Defina la pregunta de cada visual y ubíquelo según el orden de lectura ejecutivo.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6" customHeight="1">
      <x:c r="A7" s="26" t="str">
        <x:v>Usuario principal</x:v>
      </x:c>
      <x:c r="B7" s="26"/>
      <x:c r="C7" s="30" t="str">
        <x:v>Rol y frecuencia de uso</x:v>
      </x:c>
      <x:c r="D7" s="30"/>
      <x:c r="E7" s="30"/>
      <x:c r="F7" s="30"/>
      <x:c r="G7" s="30"/>
      <x:c r="H7" s="1"/>
      <x:c r="I7" s="26" t="str">
        <x:v>Usuario principal</x:v>
      </x:c>
      <x:c r="J7" s="26"/>
      <x:c r="K7" s="33" t="str">
        <x:v>Dirección de Experiencia, revisión semanal</x:v>
      </x:c>
      <x:c r="L7" s="33"/>
      <x:c r="M7" s="33"/>
      <x:c r="N7" s="33"/>
      <x:c r="O7" s="33"/>
    </x:row>
    <x:row r="8" ht="36" customHeight="1">
      <x:c r="A8" s="26" t="str">
        <x:v>Decisión principal</x:v>
      </x:c>
      <x:c r="B8" s="26"/>
      <x:c r="C8" s="30" t="str">
        <x:v>Qué debe poder decidir</x:v>
      </x:c>
      <x:c r="D8" s="30"/>
      <x:c r="E8" s="30"/>
      <x:c r="F8" s="30"/>
      <x:c r="G8" s="30"/>
      <x:c r="H8" s="1"/>
      <x:c r="I8" s="26" t="str">
        <x:v>Decisión principal</x:v>
      </x:c>
      <x:c r="J8" s="26"/>
      <x:c r="K8" s="33" t="str">
        <x:v>Priorizar canales y causas de abandono</x:v>
      </x:c>
      <x:c r="L8" s="33"/>
      <x:c r="M8" s="33"/>
      <x:c r="N8" s="33"/>
      <x:c r="O8" s="33"/>
    </x:row>
    <x:row r="9" ht="36" customHeight="1">
      <x:c r="A9" s="26" t="str">
        <x:v>KPI dominante</x:v>
      </x:c>
      <x:c r="B9" s="26"/>
      <x:c r="C9" s="30" t="str">
        <x:v>Estado que debe verse primero</x:v>
      </x:c>
      <x:c r="D9" s="30"/>
      <x:c r="E9" s="30"/>
      <x:c r="F9" s="30"/>
      <x:c r="G9" s="30"/>
      <x:c r="H9" s="1"/>
      <x:c r="I9" s="26" t="str">
        <x:v>KPI dominante</x:v>
      </x:c>
      <x:c r="J9" s="26"/>
      <x:c r="K9" s="33" t="str">
        <x:v>Adopción digital frente al objetivo</x:v>
      </x:c>
      <x:c r="L9" s="33"/>
      <x:c r="M9" s="33"/>
      <x:c r="N9" s="33"/>
      <x:c r="O9" s="33"/>
    </x:row>
    <x:row r="10" ht="36" customHeight="1">
      <x:c r="A10" s="26" t="str">
        <x:v>Comparación</x:v>
      </x:c>
      <x:c r="B10" s="26"/>
      <x:c r="C10" s="30" t="str">
        <x:v>Referencia principal</x:v>
      </x:c>
      <x:c r="D10" s="30"/>
      <x:c r="E10" s="30"/>
      <x:c r="F10" s="30"/>
      <x:c r="G10" s="30"/>
      <x:c r="H10" s="1"/>
      <x:c r="I10" s="26" t="str">
        <x:v>Comparación</x:v>
      </x:c>
      <x:c r="J10" s="26"/>
      <x:c r="K10" s="33" t="str">
        <x:v>Periodo anterior y objetivo</x:v>
      </x:c>
      <x:c r="L10" s="33"/>
      <x:c r="M10" s="33"/>
      <x:c r="N10" s="33"/>
      <x:c r="O10" s="33"/>
    </x:row>
    <x:row r="11" ht="36" customHeight="1">
      <x:c r="A11" s="26" t="str">
        <x:v>Tendencia</x:v>
      </x:c>
      <x:c r="B11" s="26"/>
      <x:c r="C11" s="30" t="str">
        <x:v>Cambio que debe entenderse</x:v>
      </x:c>
      <x:c r="D11" s="30"/>
      <x:c r="E11" s="30"/>
      <x:c r="F11" s="30"/>
      <x:c r="G11" s="30"/>
      <x:c r="H11" s="1"/>
      <x:c r="I11" s="26" t="str">
        <x:v>Tendencia</x:v>
      </x:c>
      <x:c r="J11" s="26"/>
      <x:c r="K11" s="33" t="str">
        <x:v>Evolución de adopción y abandono</x:v>
      </x:c>
      <x:c r="L11" s="33"/>
      <x:c r="M11" s="33"/>
      <x:c r="N11" s="33"/>
      <x:c r="O11" s="33"/>
    </x:row>
    <x:row r="12" ht="36" customHeight="1">
      <x:c r="A12" s="26" t="str">
        <x:v>Drivers</x:v>
      </x:c>
      <x:c r="B12" s="26"/>
      <x:c r="C12" s="30" t="str">
        <x:v>Dimensión explicativa</x:v>
      </x:c>
      <x:c r="D12" s="30"/>
      <x:c r="E12" s="30"/>
      <x:c r="F12" s="30"/>
      <x:c r="G12" s="30"/>
      <x:c r="H12" s="1"/>
      <x:c r="I12" s="26" t="str">
        <x:v>Drivers</x:v>
      </x:c>
      <x:c r="J12" s="26"/>
      <x:c r="K12" s="33" t="str">
        <x:v>Canal y producto</x:v>
      </x:c>
      <x:c r="L12" s="33"/>
      <x:c r="M12" s="33"/>
      <x:c r="N12" s="33"/>
      <x:c r="O12" s="33"/>
    </x:row>
    <x:row r="13" ht="36" customHeight="1">
      <x:c r="A13" s="26" t="str">
        <x:v>Excepción</x:v>
      </x:c>
      <x:c r="B13" s="26"/>
      <x:c r="C13" s="30" t="str">
        <x:v>Regla que exige atención</x:v>
      </x:c>
      <x:c r="D13" s="30"/>
      <x:c r="E13" s="30"/>
      <x:c r="F13" s="30"/>
      <x:c r="G13" s="30"/>
      <x:c r="H13" s="1"/>
      <x:c r="I13" s="26" t="str">
        <x:v>Excepción</x:v>
      </x:c>
      <x:c r="J13" s="26"/>
      <x:c r="K13" s="33" t="str">
        <x:v>Abandono superior al umbral</x:v>
      </x:c>
      <x:c r="L13" s="33"/>
      <x:c r="M13" s="33"/>
      <x:c r="N13" s="33"/>
      <x:c r="O13" s="33"/>
    </x:row>
    <x:row r="14" ht="36" customHeight="1">
      <x:c r="A14" s="26" t="str">
        <x:v>Detalle</x:v>
      </x:c>
      <x:c r="B14" s="26"/>
      <x:c r="C14" s="30" t="str">
        <x:v>Página o navegación secundaria</x:v>
      </x:c>
      <x:c r="D14" s="30"/>
      <x:c r="E14" s="30"/>
      <x:c r="F14" s="30"/>
      <x:c r="G14" s="30"/>
      <x:c r="H14" s="1"/>
      <x:c r="I14" s="26" t="str">
        <x:v>Detalle</x:v>
      </x:c>
      <x:c r="J14" s="26"/>
      <x:c r="K14" s="33" t="str">
        <x:v>Causas, región y segmento de cliente</x:v>
      </x:c>
      <x:c r="L14" s="33"/>
      <x:c r="M14" s="33"/>
      <x:c r="N14" s="33"/>
      <x:c r="O14" s="33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46" customHeight="1">
      <x:c r="A17" s="34" t="str">
        <x:v>Entregable</x:v>
      </x:c>
      <x:c r="B17" s="34"/>
      <x:c r="C17" s="38" t="str">
        <x:v>Redacte o construya el producto solicitado.</x:v>
      </x:c>
      <x:c r="D17" s="38"/>
      <x:c r="E17" s="38"/>
      <x:c r="F17" s="38"/>
      <x:c r="G17" s="38"/>
      <x:c r="H17" s="1"/>
      <x:c r="I17" s="34" t="str">
        <x:v>Resultado del ejemplo</x:v>
      </x:c>
      <x:c r="J17" s="34"/>
      <x:c r="K17" s="38" t="str">
        <x:v>Wireframe con una secuencia clara: estado, explicación y acción.</x:v>
      </x:c>
      <x:c r="L17" s="38"/>
      <x:c r="M17" s="38"/>
      <x:c r="N17" s="38"/>
      <x:c r="O17" s="38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8" t="str">
        <x:v>INVENTARIO DE VISUALES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40" t="str">
        <x:v>Orden</x:v>
      </x:c>
      <x:c r="B22" s="40" t="str">
        <x:v>Pregunta</x:v>
      </x:c>
      <x:c r="C22" s="40" t="str">
        <x:v>Visual</x:v>
      </x:c>
      <x:c r="D22" s="40" t="str">
        <x:v>Decisión</x:v>
      </x:c>
      <x:c r="E22" s="40" t="str"/>
      <x:c r="F22" s="40" t="str"/>
      <x:c r="G22" s="40" t="str"/>
      <x:c r="H22" s="1"/>
      <x:c r="I22" s="40" t="str">
        <x:v>Orden</x:v>
      </x:c>
      <x:c r="J22" s="40" t="str">
        <x:v>Pregunta</x:v>
      </x:c>
      <x:c r="K22" s="40" t="str"/>
      <x:c r="L22" s="40" t="str">
        <x:v>Visual</x:v>
      </x:c>
      <x:c r="M22" s="40" t="str"/>
      <x:c r="N22" s="40" t="str">
        <x:v>Decisión</x:v>
      </x:c>
      <x:c r="O22" s="40" t="str"/>
    </x:row>
    <x:row r="23">
      <x:c r="A23" s="21" t="n">
        <x:v>1</x:v>
      </x:c>
      <x:c r="B23" s="41" t="str"/>
      <x:c r="C23" s="41" t="str"/>
      <x:c r="D23" s="41" t="str"/>
      <x:c r="E23" s="21" t="str"/>
      <x:c r="F23" s="21" t="str"/>
      <x:c r="G23" s="21" t="str"/>
      <x:c r="H23" s="1"/>
      <x:c r="I23" s="21" t="n">
        <x:v>1</x:v>
      </x:c>
      <x:c r="J23" s="21" t="str">
        <x:v>¿Cuál es el estado?</x:v>
      </x:c>
      <x:c r="K23" s="21" t="str"/>
      <x:c r="L23" s="21" t="str">
        <x:v>KPI con referencia</x:v>
      </x:c>
      <x:c r="M23" s="21" t="str"/>
      <x:c r="N23" s="21" t="str">
        <x:v>Evaluar brecha</x:v>
      </x:c>
      <x:c r="O23" s="21" t="str"/>
    </x:row>
    <x:row r="24">
      <x:c r="A24" s="21" t="n">
        <x:v>2</x:v>
      </x:c>
      <x:c r="B24" s="41" t="str"/>
      <x:c r="C24" s="41" t="str"/>
      <x:c r="D24" s="41" t="str"/>
      <x:c r="E24" s="21" t="str"/>
      <x:c r="F24" s="21" t="str"/>
      <x:c r="G24" s="21" t="str"/>
      <x:c r="H24" s="1"/>
      <x:c r="I24" s="21" t="n">
        <x:v>2</x:v>
      </x:c>
      <x:c r="J24" s="21" t="str">
        <x:v>¿Cómo evoluciona?</x:v>
      </x:c>
      <x:c r="K24" s="21" t="str"/>
      <x:c r="L24" s="21" t="str">
        <x:v>Línea</x:v>
      </x:c>
      <x:c r="M24" s="21" t="str"/>
      <x:c r="N24" s="21" t="str">
        <x:v>Confirmar tendencia</x:v>
      </x:c>
      <x:c r="O24" s="21" t="str"/>
    </x:row>
    <x:row r="25">
      <x:c r="A25" s="21" t="n">
        <x:v>3</x:v>
      </x:c>
      <x:c r="B25" s="41" t="str"/>
      <x:c r="C25" s="41" t="str"/>
      <x:c r="D25" s="41" t="str"/>
      <x:c r="E25" s="21" t="str"/>
      <x:c r="F25" s="21" t="str"/>
      <x:c r="G25" s="21" t="str"/>
      <x:c r="H25" s="1"/>
      <x:c r="I25" s="21" t="n">
        <x:v>3</x:v>
      </x:c>
      <x:c r="J25" s="21" t="str">
        <x:v>¿Qué explica el cambio?</x:v>
      </x:c>
      <x:c r="K25" s="21" t="str"/>
      <x:c r="L25" s="21" t="str">
        <x:v>Barras ordenadas</x:v>
      </x:c>
      <x:c r="M25" s="21" t="str"/>
      <x:c r="N25" s="21" t="str">
        <x:v>Priorizar drivers</x:v>
      </x:c>
      <x:c r="O25" s="21" t="str"/>
    </x:row>
    <x:row r="26">
      <x:c r="A26" s="21" t="n">
        <x:v>4</x:v>
      </x:c>
      <x:c r="B26" s="41" t="str"/>
      <x:c r="C26" s="41" t="str"/>
      <x:c r="D26" s="41" t="str"/>
      <x:c r="E26" s="21" t="str"/>
      <x:c r="F26" s="21" t="str"/>
      <x:c r="G26" s="21" t="str"/>
      <x:c r="H26" s="1"/>
      <x:c r="I26" s="21" t="n">
        <x:v>4</x:v>
      </x:c>
      <x:c r="J26" s="21" t="str">
        <x:v>¿Dónde profundizar?</x:v>
      </x:c>
      <x:c r="K26" s="21" t="str"/>
      <x:c r="L26" s="21" t="str">
        <x:v>Matriz breve</x:v>
      </x:c>
      <x:c r="M26" s="21" t="str"/>
      <x:c r="N26" s="21" t="str">
        <x:v>Abrir detalle</x:v>
      </x:c>
      <x:c r="O26" s="21" t="str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7:B17"/>
    <x:mergeCell ref="C17:G17"/>
    <x:mergeCell ref="I17:J17"/>
    <x:mergeCell ref="K17:O17"/>
    <x:mergeCell ref="A20:O20"/>
    <x:mergeCell ref="J22:K22"/>
    <x:mergeCell ref="L22:M22"/>
    <x:mergeCell ref="N22:O22"/>
    <x:mergeCell ref="J23:K23"/>
    <x:mergeCell ref="L23:M23"/>
    <x:mergeCell ref="N23:O23"/>
    <x:mergeCell ref="J24:K24"/>
    <x:mergeCell ref="L24:M24"/>
    <x:mergeCell ref="N24:O24"/>
    <x:mergeCell ref="J25:K25"/>
    <x:mergeCell ref="L25:M25"/>
    <x:mergeCell ref="N25:O25"/>
    <x:mergeCell ref="J26:K26"/>
    <x:mergeCell ref="L26:M26"/>
    <x:mergeCell ref="N26:O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4. Jerarquía visual y gestión de la atención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Revise qué elemento se ve primero y si tamaño, contraste, posición y espacio apoyan el mensaje.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8" customHeight="1">
      <x:c r="A7" s="26" t="str">
        <x:v>Mensaje principal</x:v>
      </x:c>
      <x:c r="B7" s="26"/>
      <x:c r="C7" s="30" t="str">
        <x:v>Qué debe comprenderse primero</x:v>
      </x:c>
      <x:c r="D7" s="30"/>
      <x:c r="E7" s="30"/>
      <x:c r="F7" s="30"/>
      <x:c r="G7" s="30"/>
      <x:c r="H7" s="1"/>
      <x:c r="I7" s="26" t="str">
        <x:v>Mensaje principal</x:v>
      </x:c>
      <x:c r="J7" s="26"/>
      <x:c r="K7" s="33" t="str">
        <x:v>La adopción digital aumenta, pero el abandono requiere atención</x:v>
      </x:c>
      <x:c r="L7" s="33"/>
      <x:c r="M7" s="33"/>
      <x:c r="N7" s="33"/>
      <x:c r="O7" s="33"/>
    </x:row>
    <x:row r="8" ht="38" customHeight="1">
      <x:c r="A8" s="26" t="str">
        <x:v>Elemento dominante</x:v>
      </x:c>
      <x:c r="B8" s="26"/>
      <x:c r="C8" s="30" t="str">
        <x:v>Objeto con mayor énfasis</x:v>
      </x:c>
      <x:c r="D8" s="30"/>
      <x:c r="E8" s="30"/>
      <x:c r="F8" s="30"/>
      <x:c r="G8" s="30"/>
      <x:c r="H8" s="1"/>
      <x:c r="I8" s="26" t="str">
        <x:v>Elemento dominante</x:v>
      </x:c>
      <x:c r="J8" s="26"/>
      <x:c r="K8" s="33" t="str">
        <x:v>KPI de adopción digital</x:v>
      </x:c>
      <x:c r="L8" s="33"/>
      <x:c r="M8" s="33"/>
      <x:c r="N8" s="33"/>
      <x:c r="O8" s="33"/>
    </x:row>
    <x:row r="9" ht="38" customHeight="1">
      <x:c r="A9" s="26" t="str">
        <x:v>Uso del rojo</x:v>
      </x:c>
      <x:c r="B9" s="26"/>
      <x:c r="C9" s="30" t="str">
        <x:v>Qué significado conserva</x:v>
      </x:c>
      <x:c r="D9" s="30"/>
      <x:c r="E9" s="30"/>
      <x:c r="F9" s="30"/>
      <x:c r="G9" s="30"/>
      <x:c r="H9" s="1"/>
      <x:c r="I9" s="26" t="str">
        <x:v>Uso del rojo</x:v>
      </x:c>
      <x:c r="J9" s="26"/>
      <x:c r="K9" s="33" t="str">
        <x:v>Alerta, desviación o elemento focal</x:v>
      </x:c>
      <x:c r="L9" s="33"/>
      <x:c r="M9" s="33"/>
      <x:c r="N9" s="33"/>
      <x:c r="O9" s="33"/>
    </x:row>
    <x:row r="10" ht="38" customHeight="1">
      <x:c r="A10" s="26" t="str">
        <x:v>Orden de lectura</x:v>
      </x:c>
      <x:c r="B10" s="26"/>
      <x:c r="C10" s="30" t="str">
        <x:v>Primer, segundo y tercer nivel</x:v>
      </x:c>
      <x:c r="D10" s="30"/>
      <x:c r="E10" s="30"/>
      <x:c r="F10" s="30"/>
      <x:c r="G10" s="30"/>
      <x:c r="H10" s="1"/>
      <x:c r="I10" s="26" t="str">
        <x:v>Orden de lectura</x:v>
      </x:c>
      <x:c r="J10" s="26"/>
      <x:c r="K10" s="33" t="str">
        <x:v>KPI, tendencia y drivers, acción</x:v>
      </x:c>
      <x:c r="L10" s="33"/>
      <x:c r="M10" s="33"/>
      <x:c r="N10" s="33"/>
      <x:c r="O10" s="33"/>
    </x:row>
    <x:row r="11" ht="38" customHeight="1">
      <x:c r="A11" s="26" t="str">
        <x:v>Elementos secundarios</x:v>
      </x:c>
      <x:c r="B11" s="26"/>
      <x:c r="C11" s="30" t="str">
        <x:v>Qué puede reducirse</x:v>
      </x:c>
      <x:c r="D11" s="30"/>
      <x:c r="E11" s="30"/>
      <x:c r="F11" s="30"/>
      <x:c r="G11" s="30"/>
      <x:c r="H11" s="1"/>
      <x:c r="I11" s="26" t="str">
        <x:v>Elementos secundarios</x:v>
      </x:c>
      <x:c r="J11" s="26"/>
      <x:c r="K11" s="33" t="str">
        <x:v>Filtros, notas metodológicas y detalle</x:v>
      </x:c>
      <x:c r="L11" s="33"/>
      <x:c r="M11" s="33"/>
      <x:c r="N11" s="33"/>
      <x:c r="O11" s="33"/>
    </x:row>
    <x:row r="12" ht="38" customHeight="1">
      <x:c r="A12" s="26" t="str">
        <x:v>Espacio</x:v>
      </x:c>
      <x:c r="B12" s="26"/>
      <x:c r="C12" s="30" t="str">
        <x:v>Dónde debe existir separación</x:v>
      </x:c>
      <x:c r="D12" s="30"/>
      <x:c r="E12" s="30"/>
      <x:c r="F12" s="30"/>
      <x:c r="G12" s="30"/>
      <x:c r="H12" s="1"/>
      <x:c r="I12" s="26" t="str">
        <x:v>Espacio</x:v>
      </x:c>
      <x:c r="J12" s="26"/>
      <x:c r="K12" s="33" t="str">
        <x:v>Entre resumen, explicación y acción</x:v>
      </x:c>
      <x:c r="L12" s="33"/>
      <x:c r="M12" s="33"/>
      <x:c r="N12" s="33"/>
      <x:c r="O12" s="33"/>
    </x:row>
    <x:row r="13" ht="38" customHeight="1">
      <x:c r="A13" s="26" t="str">
        <x:v>Prueba rápida</x:v>
      </x:c>
      <x:c r="B13" s="26"/>
      <x:c r="C13" s="30" t="str">
        <x:v>Qué percibe alguien en cinco segundos</x:v>
      </x:c>
      <x:c r="D13" s="30"/>
      <x:c r="E13" s="30"/>
      <x:c r="F13" s="30"/>
      <x:c r="G13" s="30"/>
      <x:c r="H13" s="1"/>
      <x:c r="I13" s="26" t="str">
        <x:v>Prueba rápida</x:v>
      </x:c>
      <x:c r="J13" s="26"/>
      <x:c r="K13" s="33" t="str">
        <x:v>Resultado actual, dirección y alerta</x:v>
      </x:c>
      <x:c r="L13" s="33"/>
      <x:c r="M13" s="33"/>
      <x:c r="N13" s="33"/>
      <x:c r="O13" s="33"/>
    </x:row>
    <x:row r="14" ht="38" customHeight="1">
      <x:c r="A14" s="26" t="str">
        <x:v>Ajuste propuesto</x:v>
      </x:c>
      <x:c r="B14" s="26"/>
      <x:c r="C14" s="30" t="str">
        <x:v>Cambio visual concreto</x:v>
      </x:c>
      <x:c r="D14" s="30"/>
      <x:c r="E14" s="30"/>
      <x:c r="F14" s="30"/>
      <x:c r="G14" s="30"/>
      <x:c r="H14" s="1"/>
      <x:c r="I14" s="26" t="str">
        <x:v>Ajuste propuesto</x:v>
      </x:c>
      <x:c r="J14" s="26"/>
      <x:c r="K14" s="33" t="str">
        <x:v>Reducir colores y ampliar el KPI dominante</x:v>
      </x:c>
      <x:c r="L14" s="33"/>
      <x:c r="M14" s="33"/>
      <x:c r="N14" s="33"/>
      <x:c r="O14" s="33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46" customHeight="1">
      <x:c r="A17" s="34" t="str">
        <x:v>Entregable</x:v>
      </x:c>
      <x:c r="B17" s="34"/>
      <x:c r="C17" s="38" t="str">
        <x:v>Redacte o construya el producto solicitado.</x:v>
      </x:c>
      <x:c r="D17" s="38"/>
      <x:c r="E17" s="38"/>
      <x:c r="F17" s="38"/>
      <x:c r="G17" s="38"/>
      <x:c r="H17" s="1"/>
      <x:c r="I17" s="34" t="str">
        <x:v>Resultado del ejemplo</x:v>
      </x:c>
      <x:c r="J17" s="34"/>
      <x:c r="K17" s="38" t="str">
        <x:v>Lista priorizada de cambios visuales y orden de lectura objetivo.</x:v>
      </x:c>
      <x:c r="L17" s="38"/>
      <x:c r="M17" s="38"/>
      <x:c r="N17" s="38"/>
      <x:c r="O17" s="38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8" t="str">
        <x:v>PUNTUACIÓN DE REVISIÓN</x:v>
      </x:c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40" t="str">
        <x:v>Criterio</x:v>
      </x:c>
      <x:c r="B22" s="40" t="str">
        <x:v>Peso</x:v>
      </x:c>
      <x:c r="C22" s="40" t="str">
        <x:v>Calificación 1-5</x:v>
      </x:c>
      <x:c r="D22" s="40" t="str">
        <x:v>Puntaje</x:v>
      </x:c>
      <x:c r="E22" s="40" t="str"/>
      <x:c r="F22" s="40" t="str"/>
      <x:c r="G22" s="40" t="str"/>
      <x:c r="H22" s="1"/>
      <x:c r="I22" s="40" t="str">
        <x:v>Criterio</x:v>
      </x:c>
      <x:c r="J22" s="40" t="str">
        <x:v>Peso</x:v>
      </x:c>
      <x:c r="K22" s="40" t="str">
        <x:v>Calificación</x:v>
      </x:c>
      <x:c r="L22" s="40" t="str">
        <x:v>Puntaje</x:v>
      </x:c>
      <x:c r="M22" s="40" t="str">
        <x:v>Lectura</x:v>
      </x:c>
      <x:c r="N22" s="40" t="str"/>
      <x:c r="O22" s="40" t="str"/>
    </x:row>
    <x:row r="23">
      <x:c r="A23" s="21" t="str">
        <x:v>Tamaño</x:v>
      </x:c>
      <x:c r="B23" s="49" t="n">
        <x:v>0.3</x:v>
      </x:c>
      <x:c r="C23" s="41" t="str"/>
      <x:c r="D23" s="21" t="n">
        <x:f>B23*C23</x:f>
        <x:v>0</x:v>
      </x:c>
      <x:c r="E23" s="21" t="str"/>
      <x:c r="F23" s="21" t="str"/>
      <x:c r="G23" s="21" t="str"/>
      <x:c r="H23" s="1"/>
      <x:c r="I23" s="21" t="str">
        <x:v>Tamaño</x:v>
      </x:c>
      <x:c r="J23" s="49" t="n">
        <x:v>0.3</x:v>
      </x:c>
      <x:c r="K23" s="21" t="n">
        <x:v>4</x:v>
      </x:c>
      <x:c r="L23" s="50" t="n">
        <x:f>J23*K23</x:f>
        <x:v>1.2</x:v>
      </x:c>
      <x:c r="M23" s="21" t="str">
        <x:v>Claro</x:v>
      </x:c>
      <x:c r="N23" s="21" t="str"/>
      <x:c r="O23" s="21" t="str"/>
    </x:row>
    <x:row r="24">
      <x:c r="A24" s="21" t="str">
        <x:v>Contraste</x:v>
      </x:c>
      <x:c r="B24" s="49" t="n">
        <x:v>0.3</x:v>
      </x:c>
      <x:c r="C24" s="41" t="str"/>
      <x:c r="D24" s="21" t="n">
        <x:f>B24*C24</x:f>
        <x:v>0</x:v>
      </x:c>
      <x:c r="E24" s="21" t="str"/>
      <x:c r="F24" s="21" t="str"/>
      <x:c r="G24" s="21" t="str"/>
      <x:c r="H24" s="1"/>
      <x:c r="I24" s="21" t="str">
        <x:v>Contraste</x:v>
      </x:c>
      <x:c r="J24" s="49" t="n">
        <x:v>0.3</x:v>
      </x:c>
      <x:c r="K24" s="21" t="n">
        <x:v>3</x:v>
      </x:c>
      <x:c r="L24" s="50" t="n">
        <x:f>J24*K24</x:f>
        <x:v>0.8999999999999999</x:v>
      </x:c>
      <x:c r="M24" s="21" t="str">
        <x:v>Mejorable</x:v>
      </x:c>
      <x:c r="N24" s="21" t="str"/>
      <x:c r="O24" s="21" t="str"/>
    </x:row>
    <x:row r="25">
      <x:c r="A25" s="21" t="str">
        <x:v>Posición</x:v>
      </x:c>
      <x:c r="B25" s="49" t="n">
        <x:v>0.2</x:v>
      </x:c>
      <x:c r="C25" s="41" t="str"/>
      <x:c r="D25" s="21" t="n">
        <x:f>B25*C25</x:f>
        <x:v>0</x:v>
      </x:c>
      <x:c r="E25" s="21" t="str"/>
      <x:c r="F25" s="21" t="str"/>
      <x:c r="G25" s="21" t="str"/>
      <x:c r="H25" s="1"/>
      <x:c r="I25" s="21" t="str">
        <x:v>Posición</x:v>
      </x:c>
      <x:c r="J25" s="49" t="n">
        <x:v>0.2</x:v>
      </x:c>
      <x:c r="K25" s="21" t="n">
        <x:v>5</x:v>
      </x:c>
      <x:c r="L25" s="50" t="n">
        <x:f>J25*K25</x:f>
        <x:v>1</x:v>
      </x:c>
      <x:c r="M25" s="21" t="str">
        <x:v>Claro</x:v>
      </x:c>
      <x:c r="N25" s="21" t="str"/>
      <x:c r="O25" s="21" t="str"/>
    </x:row>
    <x:row r="26">
      <x:c r="A26" s="21" t="str">
        <x:v>Espacio</x:v>
      </x:c>
      <x:c r="B26" s="49" t="n">
        <x:v>0.2</x:v>
      </x:c>
      <x:c r="C26" s="41" t="str"/>
      <x:c r="D26" s="21" t="n">
        <x:f>B26*C26</x:f>
        <x:v>0</x:v>
      </x:c>
      <x:c r="E26" s="21" t="str"/>
      <x:c r="F26" s="21" t="str"/>
      <x:c r="G26" s="21" t="str"/>
      <x:c r="H26" s="1"/>
      <x:c r="I26" s="21" t="str">
        <x:v>Espacio</x:v>
      </x:c>
      <x:c r="J26" s="49" t="n">
        <x:v>0.2</x:v>
      </x:c>
      <x:c r="K26" s="21" t="n">
        <x:v>4</x:v>
      </x:c>
      <x:c r="L26" s="50" t="n">
        <x:f>J26*K26</x:f>
        <x:v>0.8</x:v>
      </x:c>
      <x:c r="M26" s="21" t="str">
        <x:v>Claro</x:v>
      </x:c>
      <x:c r="N26" s="21" t="str"/>
      <x:c r="O26" s="21" t="str"/>
    </x:row>
    <x:row r="27">
      <x:c r="A27" s="21" t="str">
        <x:v>Total</x:v>
      </x:c>
      <x:c r="B27" s="49" t="n">
        <x:v>1</x:v>
      </x:c>
      <x:c r="C27" s="21" t="str"/>
      <x:c r="D27" s="21" t="n">
        <x:f>SUM(D23:D26)</x:f>
        <x:v>0</x:v>
      </x:c>
      <x:c r="E27" s="21" t="str"/>
      <x:c r="F27" s="21" t="str"/>
      <x:c r="G27" s="21" t="str"/>
      <x:c r="H27" s="1"/>
      <x:c r="I27" s="21" t="str">
        <x:v>Total</x:v>
      </x:c>
      <x:c r="J27" s="49" t="n">
        <x:v>1</x:v>
      </x:c>
      <x:c r="K27" s="21" t="str"/>
      <x:c r="L27" s="50" t="n">
        <x:f>SUM(L23:L26)</x:f>
        <x:v>3.8999999999999995</x:v>
      </x:c>
      <x:c r="M27" s="21" t="str"/>
      <x:c r="N27" s="21" t="str"/>
      <x:c r="O27" s="21" t="str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7:B17"/>
    <x:mergeCell ref="C17:G17"/>
    <x:mergeCell ref="I17:J17"/>
    <x:mergeCell ref="K17:O17"/>
    <x:mergeCell ref="A20:O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5. Definición y estandarización de KPIs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Documente la fórmula, alcance, tiempo, responsable y validación antes de publicar una métrica.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3" customHeight="1">
      <x:c r="A7" s="26" t="str">
        <x:v>Nombre</x:v>
      </x:c>
      <x:c r="B7" s="26"/>
      <x:c r="C7" s="30" t="str">
        <x:v>Etiqueta visible y única</x:v>
      </x:c>
      <x:c r="D7" s="30"/>
      <x:c r="E7" s="30"/>
      <x:c r="F7" s="30"/>
      <x:c r="G7" s="30"/>
      <x:c r="H7" s="1"/>
      <x:c r="I7" s="26" t="str">
        <x:v>Nombre</x:v>
      </x:c>
      <x:c r="J7" s="26"/>
      <x:c r="K7" s="33" t="str">
        <x:v>Tasa de rechazo</x:v>
      </x:c>
      <x:c r="L7" s="33"/>
      <x:c r="M7" s="33"/>
      <x:c r="N7" s="33"/>
      <x:c r="O7" s="33"/>
    </x:row>
    <x:row r="8" ht="33" customHeight="1">
      <x:c r="A8" s="26" t="str">
        <x:v>Propósito</x:v>
      </x:c>
      <x:c r="B8" s="26"/>
      <x:c r="C8" s="30" t="str">
        <x:v>Decisión que respalda</x:v>
      </x:c>
      <x:c r="D8" s="30"/>
      <x:c r="E8" s="30"/>
      <x:c r="F8" s="30"/>
      <x:c r="G8" s="30"/>
      <x:c r="H8" s="1"/>
      <x:c r="I8" s="26" t="str">
        <x:v>Propósito</x:v>
      </x:c>
      <x:c r="J8" s="26"/>
      <x:c r="K8" s="33" t="str">
        <x:v>Monitorear fricción en autorizaciones</x:v>
      </x:c>
      <x:c r="L8" s="33"/>
      <x:c r="M8" s="33"/>
      <x:c r="N8" s="33"/>
      <x:c r="O8" s="33"/>
    </x:row>
    <x:row r="9" ht="33" customHeight="1">
      <x:c r="A9" s="26" t="str">
        <x:v>Numerador</x:v>
      </x:c>
      <x:c r="B9" s="26"/>
      <x:c r="C9" s="30" t="str">
        <x:v>Evento contado</x:v>
      </x:c>
      <x:c r="D9" s="30"/>
      <x:c r="E9" s="30"/>
      <x:c r="F9" s="30"/>
      <x:c r="G9" s="30"/>
      <x:c r="H9" s="1"/>
      <x:c r="I9" s="26" t="str">
        <x:v>Numerador</x:v>
      </x:c>
      <x:c r="J9" s="26"/>
      <x:c r="K9" s="33" t="str">
        <x:v>Transacciones rechazadas</x:v>
      </x:c>
      <x:c r="L9" s="33"/>
      <x:c r="M9" s="33"/>
      <x:c r="N9" s="33"/>
      <x:c r="O9" s="33"/>
    </x:row>
    <x:row r="10" ht="33" customHeight="1">
      <x:c r="A10" s="26" t="str">
        <x:v>Denominador</x:v>
      </x:c>
      <x:c r="B10" s="26"/>
      <x:c r="C10" s="30" t="str">
        <x:v>Población de referencia</x:v>
      </x:c>
      <x:c r="D10" s="30"/>
      <x:c r="E10" s="30"/>
      <x:c r="F10" s="30"/>
      <x:c r="G10" s="30"/>
      <x:c r="H10" s="1"/>
      <x:c r="I10" s="26" t="str">
        <x:v>Denominador</x:v>
      </x:c>
      <x:c r="J10" s="26"/>
      <x:c r="K10" s="33" t="str">
        <x:v>Transacciones intentadas</x:v>
      </x:c>
      <x:c r="L10" s="33"/>
      <x:c r="M10" s="33"/>
      <x:c r="N10" s="33"/>
      <x:c r="O10" s="33"/>
    </x:row>
    <x:row r="11" ht="33" customHeight="1">
      <x:c r="A11" s="26" t="str">
        <x:v>Fórmula</x:v>
      </x:c>
      <x:c r="B11" s="26"/>
      <x:c r="C11" s="30" t="str">
        <x:v>Expresión de negocio</x:v>
      </x:c>
      <x:c r="D11" s="30"/>
      <x:c r="E11" s="30"/>
      <x:c r="F11" s="30"/>
      <x:c r="G11" s="30"/>
      <x:c r="H11" s="1"/>
      <x:c r="I11" s="26" t="str">
        <x:v>Fórmula</x:v>
      </x:c>
      <x:c r="J11" s="26"/>
      <x:c r="K11" s="33" t="str">
        <x:v>Rechazadas / intentadas</x:v>
      </x:c>
      <x:c r="L11" s="33"/>
      <x:c r="M11" s="33"/>
      <x:c r="N11" s="33"/>
      <x:c r="O11" s="33"/>
    </x:row>
    <x:row r="12" ht="33" customHeight="1">
      <x:c r="A12" s="26" t="str">
        <x:v>Incluye</x:v>
      </x:c>
      <x:c r="B12" s="26"/>
      <x:c r="C12" s="30" t="str">
        <x:v>Estados y población</x:v>
      </x:c>
      <x:c r="D12" s="30"/>
      <x:c r="E12" s="30"/>
      <x:c r="F12" s="30"/>
      <x:c r="G12" s="30"/>
      <x:c r="H12" s="1"/>
      <x:c r="I12" s="26" t="str">
        <x:v>Incluye</x:v>
      </x:c>
      <x:c r="J12" s="26"/>
      <x:c r="K12" s="33" t="str">
        <x:v>Autorizaciones finales de clientes</x:v>
      </x:c>
      <x:c r="L12" s="33"/>
      <x:c r="M12" s="33"/>
      <x:c r="N12" s="33"/>
      <x:c r="O12" s="33"/>
    </x:row>
    <x:row r="13" ht="40" customHeight="1">
      <x:c r="A13" s="26" t="str">
        <x:v>Excluye</x:v>
      </x:c>
      <x:c r="B13" s="26"/>
      <x:c r="C13" s="30" t="str">
        <x:v>Casos fuera del alcance</x:v>
      </x:c>
      <x:c r="D13" s="30"/>
      <x:c r="E13" s="30"/>
      <x:c r="F13" s="30"/>
      <x:c r="G13" s="30"/>
      <x:c r="H13" s="1"/>
      <x:c r="I13" s="26" t="str">
        <x:v>Excluye</x:v>
      </x:c>
      <x:c r="J13" s="26"/>
      <x:c r="K13" s="33" t="str">
        <x:v>Pruebas, duplicados y anulaciones técnicas</x:v>
      </x:c>
      <x:c r="L13" s="33"/>
      <x:c r="M13" s="33"/>
      <x:c r="N13" s="33"/>
      <x:c r="O13" s="33"/>
    </x:row>
    <x:row r="14" ht="33" customHeight="1">
      <x:c r="A14" s="26" t="str">
        <x:v>Fecha</x:v>
      </x:c>
      <x:c r="B14" s="26"/>
      <x:c r="C14" s="30" t="str">
        <x:v>Campo y frecuencia</x:v>
      </x:c>
      <x:c r="D14" s="30"/>
      <x:c r="E14" s="30"/>
      <x:c r="F14" s="30"/>
      <x:c r="G14" s="30"/>
      <x:c r="H14" s="1"/>
      <x:c r="I14" s="26" t="str">
        <x:v>Fecha</x:v>
      </x:c>
      <x:c r="J14" s="26"/>
      <x:c r="K14" s="33" t="str">
        <x:v>Fecha de intento, reporte diario y mensual</x:v>
      </x:c>
      <x:c r="L14" s="33"/>
      <x:c r="M14" s="33"/>
      <x:c r="N14" s="33"/>
      <x:c r="O14" s="33"/>
    </x:row>
    <x:row r="15" ht="33" customHeight="1">
      <x:c r="A15" s="26" t="str">
        <x:v>Formato</x:v>
      </x:c>
      <x:c r="B15" s="26"/>
      <x:c r="C15" s="30" t="str">
        <x:v>Unidad y precisión</x:v>
      </x:c>
      <x:c r="D15" s="30"/>
      <x:c r="E15" s="30"/>
      <x:c r="F15" s="30"/>
      <x:c r="G15" s="30"/>
      <x:c r="H15" s="1"/>
      <x:c r="I15" s="26" t="str">
        <x:v>Formato</x:v>
      </x:c>
      <x:c r="J15" s="26"/>
      <x:c r="K15" s="33" t="str">
        <x:v>Porcentaje con un decimal</x:v>
      </x:c>
      <x:c r="L15" s="33"/>
      <x:c r="M15" s="33"/>
      <x:c r="N15" s="33"/>
      <x:c r="O15" s="33"/>
    </x:row>
    <x:row r="16" ht="33" customHeight="1">
      <x:c r="A16" s="26" t="str">
        <x:v>Responsable</x:v>
      </x:c>
      <x:c r="B16" s="26"/>
      <x:c r="C16" s="30" t="str">
        <x:v>Dueño de definición</x:v>
      </x:c>
      <x:c r="D16" s="30"/>
      <x:c r="E16" s="30"/>
      <x:c r="F16" s="30"/>
      <x:c r="G16" s="30"/>
      <x:c r="H16" s="1"/>
      <x:c r="I16" s="26" t="str">
        <x:v>Responsable</x:v>
      </x:c>
      <x:c r="J16" s="26"/>
      <x:c r="K16" s="33" t="str">
        <x:v>Riesgo Operativo</x:v>
      </x:c>
      <x:c r="L16" s="33"/>
      <x:c r="M16" s="33"/>
      <x:c r="N16" s="33"/>
      <x:c r="O16" s="33"/>
    </x:row>
    <x:row r="17" ht="33" customHeight="1">
      <x:c r="A17" s="26" t="str">
        <x:v>Validación</x:v>
      </x:c>
      <x:c r="B17" s="26"/>
      <x:c r="C17" s="30" t="str">
        <x:v>Control esperado</x:v>
      </x:c>
      <x:c r="D17" s="30"/>
      <x:c r="E17" s="30"/>
      <x:c r="F17" s="30"/>
      <x:c r="G17" s="30"/>
      <x:c r="H17" s="1"/>
      <x:c r="I17" s="26" t="str">
        <x:v>Validación</x:v>
      </x:c>
      <x:c r="J17" s="26"/>
      <x:c r="K17" s="33" t="str">
        <x:v>Numerador menor o igual al denominador</x:v>
      </x:c>
      <x:c r="L17" s="33"/>
      <x:c r="M17" s="33"/>
      <x:c r="N17" s="33"/>
      <x:c r="O17" s="33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46" customHeight="1">
      <x:c r="A20" s="34" t="str">
        <x:v>Entregable</x:v>
      </x:c>
      <x:c r="B20" s="34"/>
      <x:c r="C20" s="38" t="str">
        <x:v>Redacte o construya el producto solicitado.</x:v>
      </x:c>
      <x:c r="D20" s="38"/>
      <x:c r="E20" s="38"/>
      <x:c r="F20" s="38"/>
      <x:c r="G20" s="38"/>
      <x:c r="H20" s="1"/>
      <x:c r="I20" s="34" t="str">
        <x:v>Resultado del ejemplo</x:v>
      </x:c>
      <x:c r="J20" s="34"/>
      <x:c r="K20" s="38" t="str">
        <x:v>Ficha técnica aprobable y definición lista para el catálogo de métricas.</x:v>
      </x:c>
      <x:c r="L20" s="38"/>
      <x:c r="M20" s="38"/>
      <x:c r="N20" s="38"/>
      <x:c r="O20" s="38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8" t="str">
        <x:v>PRUEBA DE LA FÓRMULA</x:v>
      </x:c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>
      <x:c r="A25" s="40" t="str">
        <x:v>Caso</x:v>
      </x:c>
      <x:c r="B25" s="40" t="str">
        <x:v>Intentos</x:v>
      </x:c>
      <x:c r="C25" s="40" t="str">
        <x:v>Rechazos</x:v>
      </x:c>
      <x:c r="D25" s="40" t="str">
        <x:v>Tasa</x:v>
      </x:c>
      <x:c r="E25" s="40" t="str">
        <x:v>Control</x:v>
      </x:c>
      <x:c r="F25" s="40" t="str"/>
      <x:c r="G25" s="40" t="str"/>
      <x:c r="H25" s="1"/>
      <x:c r="I25" s="40" t="str">
        <x:v>Caso</x:v>
      </x:c>
      <x:c r="J25" s="40" t="str">
        <x:v>Intentos</x:v>
      </x:c>
      <x:c r="K25" s="40" t="str">
        <x:v>Rechazos</x:v>
      </x:c>
      <x:c r="L25" s="40" t="str">
        <x:v>Tasa</x:v>
      </x:c>
      <x:c r="M25" s="40" t="str">
        <x:v>Control</x:v>
      </x:c>
      <x:c r="N25" s="40" t="str"/>
      <x:c r="O25" s="40" t="str"/>
    </x:row>
    <x:row r="26">
      <x:c r="A26" s="21" t="str">
        <x:v>Prueba 1</x:v>
      </x:c>
      <x:c r="B26" s="41" t="str"/>
      <x:c r="C26" s="41" t="str"/>
      <x:c r="D26" s="21" t="str"/>
      <x:c r="E26" s="21" t="str"/>
      <x:c r="F26" s="21" t="str"/>
      <x:c r="G26" s="21" t="str"/>
      <x:c r="H26" s="1"/>
      <x:c r="I26" s="21" t="str">
        <x:v>Normal</x:v>
      </x:c>
      <x:c r="J26" s="21" t="n">
        <x:v>100000</x:v>
      </x:c>
      <x:c r="K26" s="21" t="n">
        <x:v>2800</x:v>
      </x:c>
      <x:c r="L26" s="44" t="n">
        <x:f>IF(J26=0,"n.a.",K26/J26)</x:f>
        <x:v>0.028</x:v>
      </x:c>
      <x:c r="M26" s="21" t="str">
        <x:f>IF(K26&lt;=J26,"Válido","Revisar")</x:f>
        <x:v>Válido</x:v>
      </x:c>
      <x:c r="N26" s="21" t="str"/>
      <x:c r="O26" s="21" t="str"/>
    </x:row>
    <x:row r="27">
      <x:c r="A27" s="21" t="str">
        <x:v>Prueba 2</x:v>
      </x:c>
      <x:c r="B27" s="41" t="str"/>
      <x:c r="C27" s="41" t="str"/>
      <x:c r="D27" s="21" t="str"/>
      <x:c r="E27" s="21" t="str"/>
      <x:c r="F27" s="21" t="str"/>
      <x:c r="G27" s="21" t="str"/>
      <x:c r="H27" s="1"/>
      <x:c r="I27" s="21" t="str">
        <x:v>Sin intentos</x:v>
      </x:c>
      <x:c r="J27" s="21" t="n">
        <x:v>0</x:v>
      </x:c>
      <x:c r="K27" s="21" t="n">
        <x:v>0</x:v>
      </x:c>
      <x:c r="L27" s="44" t="str">
        <x:f>IF(J27=0,"n.a.",K27/J27)</x:f>
        <x:v>n.a.</x:v>
      </x:c>
      <x:c r="M27" s="21" t="str">
        <x:f>IF(K27&lt;=J27,"Válido","Revisar")</x:f>
        <x:v>Válido</x:v>
      </x:c>
      <x:c r="N27" s="21" t="str"/>
      <x:c r="O27" s="21" t="str"/>
    </x:row>
    <x:row r="28">
      <x:c r="A28" s="21" t="str">
        <x:v>Prueba 3</x:v>
      </x:c>
      <x:c r="B28" s="41" t="str"/>
      <x:c r="C28" s="41" t="str"/>
      <x:c r="D28" s="21" t="str"/>
      <x:c r="E28" s="21" t="str"/>
      <x:c r="F28" s="21" t="str"/>
      <x:c r="G28" s="21" t="str"/>
      <x:c r="H28" s="1"/>
      <x:c r="I28" s="21" t="str">
        <x:v>Inválido</x:v>
      </x:c>
      <x:c r="J28" s="21" t="n">
        <x:v>100</x:v>
      </x:c>
      <x:c r="K28" s="21" t="n">
        <x:v>120</x:v>
      </x:c>
      <x:c r="L28" s="44" t="n">
        <x:f>IF(J28=0,"n.a.",K28/J28)</x:f>
        <x:v>1.2</x:v>
      </x:c>
      <x:c r="M28" s="21" t="str">
        <x:f>IF(K28&lt;=J28,"Válido","Revisar")</x:f>
        <x:v>Revisar</x:v>
      </x:c>
      <x:c r="N28" s="21" t="str"/>
      <x:c r="O28" s="21" t="str"/>
    </x:row>
    <x:row r="29">
      <x:c r="A29" s="21" t="str">
        <x:v>Regla</x:v>
      </x:c>
      <x:c r="B29" s="21" t="str">
        <x:v>Rechazos &lt;= Intentos</x:v>
      </x:c>
      <x:c r="C29" s="21" t="str"/>
      <x:c r="D29" s="21" t="str"/>
      <x:c r="E29" s="21" t="str"/>
      <x:c r="F29" s="21" t="str"/>
      <x:c r="G29" s="21" t="str"/>
      <x:c r="H29" s="1"/>
      <x:c r="I29" s="21" t="str">
        <x:v>Regla</x:v>
      </x:c>
      <x:c r="J29" s="21" t="str">
        <x:v>Rechazos &lt;= Intentos</x:v>
      </x:c>
      <x:c r="K29" s="21" t="str"/>
      <x:c r="L29" s="21" t="str"/>
      <x:c r="M29" s="21" t="str"/>
      <x:c r="N29" s="21" t="str"/>
      <x:c r="O29" s="21" t="str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6:B16"/>
    <x:mergeCell ref="C16:G16"/>
    <x:mergeCell ref="I16:J16"/>
    <x:mergeCell ref="K16:O16"/>
    <x:mergeCell ref="A17:B17"/>
    <x:mergeCell ref="C17:G17"/>
    <x:mergeCell ref="I17:J17"/>
    <x:mergeCell ref="K17:O17"/>
    <x:mergeCell ref="A20:B20"/>
    <x:mergeCell ref="C20:G20"/>
    <x:mergeCell ref="I20:J20"/>
    <x:mergeCell ref="K20:O20"/>
    <x:mergeCell ref="A23:O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B00020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Ficha 6. Narrativa de tendencias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Describa dirección, magnitud, patrón y referencia antes de atribuir una causa.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4" customHeight="1">
      <x:c r="A6" s="24" t="str">
        <x:v>FICHA PARA COMPLETAR</x:v>
      </x:c>
      <x:c r="B6" s="24"/>
      <x:c r="C6" s="24"/>
      <x:c r="D6" s="24"/>
      <x:c r="E6" s="24"/>
      <x:c r="F6" s="24"/>
      <x:c r="G6" s="24"/>
      <x:c r="H6" s="1"/>
      <x:c r="I6" s="24" t="str">
        <x:v>EJEMPLO RESUELTO</x:v>
      </x:c>
      <x:c r="J6" s="24"/>
      <x:c r="K6" s="24"/>
      <x:c r="L6" s="24"/>
      <x:c r="M6" s="24"/>
      <x:c r="N6" s="24"/>
      <x:c r="O6" s="24"/>
    </x:row>
    <x:row r="7" ht="36" customHeight="1">
      <x:c r="A7" s="26" t="str">
        <x:v>Indicador</x:v>
      </x:c>
      <x:c r="B7" s="26"/>
      <x:c r="C7" s="30" t="str">
        <x:v>Nombre y unidad</x:v>
      </x:c>
      <x:c r="D7" s="30"/>
      <x:c r="E7" s="30"/>
      <x:c r="F7" s="30"/>
      <x:c r="G7" s="30"/>
      <x:c r="H7" s="1"/>
      <x:c r="I7" s="26" t="str">
        <x:v>Indicador</x:v>
      </x:c>
      <x:c r="J7" s="26"/>
      <x:c r="K7" s="33" t="str">
        <x:v>Índice de volumen transaccional, base 100</x:v>
      </x:c>
      <x:c r="L7" s="33"/>
      <x:c r="M7" s="33"/>
      <x:c r="N7" s="33"/>
      <x:c r="O7" s="33"/>
    </x:row>
    <x:row r="8" ht="36" customHeight="1">
      <x:c r="A8" s="26" t="str">
        <x:v>Periodo</x:v>
      </x:c>
      <x:c r="B8" s="26"/>
      <x:c r="C8" s="30" t="str">
        <x:v>Ventana observada</x:v>
      </x:c>
      <x:c r="D8" s="30"/>
      <x:c r="E8" s="30"/>
      <x:c r="F8" s="30"/>
      <x:c r="G8" s="30"/>
      <x:c r="H8" s="1"/>
      <x:c r="I8" s="26" t="str">
        <x:v>Periodo</x:v>
      </x:c>
      <x:c r="J8" s="26"/>
      <x:c r="K8" s="33" t="str">
        <x:v>Siete periodos consecutivos</x:v>
      </x:c>
      <x:c r="L8" s="33"/>
      <x:c r="M8" s="33"/>
      <x:c r="N8" s="33"/>
      <x:c r="O8" s="33"/>
    </x:row>
    <x:row r="9" ht="36" customHeight="1">
      <x:c r="A9" s="26" t="str">
        <x:v>Dirección</x:v>
      </x:c>
      <x:c r="B9" s="26"/>
      <x:c r="C9" s="30" t="str">
        <x:v>Sube, baja o estable</x:v>
      </x:c>
      <x:c r="D9" s="30"/>
      <x:c r="E9" s="30"/>
      <x:c r="F9" s="30"/>
      <x:c r="G9" s="30"/>
      <x:c r="H9" s="1"/>
      <x:c r="I9" s="26" t="str">
        <x:v>Dirección</x:v>
      </x:c>
      <x:c r="J9" s="26"/>
      <x:c r="K9" s="33" t="str">
        <x:v>Tendencia ascendente</x:v>
      </x:c>
      <x:c r="L9" s="33"/>
      <x:c r="M9" s="33"/>
      <x:c r="N9" s="33"/>
      <x:c r="O9" s="33"/>
    </x:row>
    <x:row r="10" ht="36" customHeight="1">
      <x:c r="A10" s="26" t="str">
        <x:v>Magnitud</x:v>
      </x:c>
      <x:c r="B10" s="26"/>
      <x:c r="C10" s="30" t="str">
        <x:v>Cambio inicial a final</x:v>
      </x:c>
      <x:c r="D10" s="30"/>
      <x:c r="E10" s="30"/>
      <x:c r="F10" s="30"/>
      <x:c r="G10" s="30"/>
      <x:c r="H10" s="1"/>
      <x:c r="I10" s="26" t="str">
        <x:v>Magnitud</x:v>
      </x:c>
      <x:c r="J10" s="26"/>
      <x:c r="K10" s="33" t="str">
        <x:v>De 100 a 121, aumento de 21 %</x:v>
      </x:c>
      <x:c r="L10" s="33"/>
      <x:c r="M10" s="33"/>
      <x:c r="N10" s="33"/>
      <x:c r="O10" s="33"/>
    </x:row>
    <x:row r="11" ht="36" customHeight="1">
      <x:c r="A11" s="26" t="str">
        <x:v>Punto de cambio</x:v>
      </x:c>
      <x:c r="B11" s="26"/>
      <x:c r="C11" s="30" t="str">
        <x:v>Periodo donde cambia el patrón</x:v>
      </x:c>
      <x:c r="D11" s="30"/>
      <x:c r="E11" s="30"/>
      <x:c r="F11" s="30"/>
      <x:c r="G11" s="30"/>
      <x:c r="H11" s="1"/>
      <x:c r="I11" s="26" t="str">
        <x:v>Punto de cambio</x:v>
      </x:c>
      <x:c r="J11" s="26"/>
      <x:c r="K11" s="33" t="str">
        <x:v>La aceleración comienza después del tercer periodo</x:v>
      </x:c>
      <x:c r="L11" s="33"/>
      <x:c r="M11" s="33"/>
      <x:c r="N11" s="33"/>
      <x:c r="O11" s="33"/>
    </x:row>
    <x:row r="12" ht="36" customHeight="1">
      <x:c r="A12" s="26" t="str">
        <x:v>Volatilidad</x:v>
      </x:c>
      <x:c r="B12" s="26"/>
      <x:c r="C12" s="30" t="str">
        <x:v>Variaciones relevantes</x:v>
      </x:c>
      <x:c r="D12" s="30"/>
      <x:c r="E12" s="30"/>
      <x:c r="F12" s="30"/>
      <x:c r="G12" s="30"/>
      <x:c r="H12" s="1"/>
      <x:c r="I12" s="26" t="str">
        <x:v>Volatilidad</x:v>
      </x:c>
      <x:c r="J12" s="26"/>
      <x:c r="K12" s="33" t="str">
        <x:v>Descenso breve en el tercer periodo</x:v>
      </x:c>
      <x:c r="L12" s="33"/>
      <x:c r="M12" s="33"/>
      <x:c r="N12" s="33"/>
      <x:c r="O12" s="33"/>
    </x:row>
    <x:row r="13" ht="36" customHeight="1">
      <x:c r="A13" s="26" t="str">
        <x:v>Referencia</x:v>
      </x:c>
      <x:c r="B13" s="26"/>
      <x:c r="C13" s="30" t="str">
        <x:v>Objetivo o línea base</x:v>
      </x:c>
      <x:c r="D13" s="30"/>
      <x:c r="E13" s="30"/>
      <x:c r="F13" s="30"/>
      <x:c r="G13" s="30"/>
      <x:c r="H13" s="1"/>
      <x:c r="I13" s="26" t="str">
        <x:v>Referencia</x:v>
      </x:c>
      <x:c r="J13" s="26"/>
      <x:c r="K13" s="33" t="str">
        <x:v>Índice base 100</x:v>
      </x:c>
      <x:c r="L13" s="33"/>
      <x:c r="M13" s="33"/>
      <x:c r="N13" s="33"/>
      <x:c r="O13" s="33"/>
    </x:row>
    <x:row r="14" ht="36" customHeight="1">
      <x:c r="A14" s="26" t="str">
        <x:v>Causa confirmada</x:v>
      </x:c>
      <x:c r="B14" s="26"/>
      <x:c r="C14" s="30" t="str">
        <x:v>Evento respaldado por evidencia</x:v>
      </x:c>
      <x:c r="D14" s="30"/>
      <x:c r="E14" s="30"/>
      <x:c r="F14" s="30"/>
      <x:c r="G14" s="30"/>
      <x:c r="H14" s="1"/>
      <x:c r="I14" s="26" t="str">
        <x:v>Causa confirmada</x:v>
      </x:c>
      <x:c r="J14" s="26"/>
      <x:c r="K14" s="33" t="str">
        <x:v>No disponible</x:v>
      </x:c>
      <x:c r="L14" s="33"/>
      <x:c r="M14" s="33"/>
      <x:c r="N14" s="33"/>
      <x:c r="O14" s="33"/>
    </x:row>
    <x:row r="15" ht="36" customHeight="1">
      <x:c r="A15" s="26" t="str">
        <x:v>Siguiente análisis</x:v>
      </x:c>
      <x:c r="B15" s="26"/>
      <x:c r="C15" s="30" t="str">
        <x:v>Desglose necesario</x:v>
      </x:c>
      <x:c r="D15" s="30"/>
      <x:c r="E15" s="30"/>
      <x:c r="F15" s="30"/>
      <x:c r="G15" s="30"/>
      <x:c r="H15" s="1"/>
      <x:c r="I15" s="26" t="str">
        <x:v>Siguiente análisis</x:v>
      </x:c>
      <x:c r="J15" s="26"/>
      <x:c r="K15" s="33" t="str">
        <x:v>Separar el aumento por canal y producto</x:v>
      </x:c>
      <x:c r="L15" s="33"/>
      <x:c r="M15" s="33"/>
      <x:c r="N15" s="33"/>
      <x:c r="O15" s="33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46" customHeight="1">
      <x:c r="A18" s="34" t="str">
        <x:v>Entregable</x:v>
      </x:c>
      <x:c r="B18" s="34"/>
      <x:c r="C18" s="38" t="str">
        <x:v>Redacte o construya el producto solicitado.</x:v>
      </x:c>
      <x:c r="D18" s="38"/>
      <x:c r="E18" s="38"/>
      <x:c r="F18" s="38"/>
      <x:c r="G18" s="38"/>
      <x:c r="H18" s="1"/>
      <x:c r="I18" s="34" t="str">
        <x:v>Resultado del ejemplo</x:v>
      </x:c>
      <x:c r="J18" s="34"/>
      <x:c r="K18" s="38" t="str">
        <x:v>Narrativa de tendencia con un hecho, una comparación y un siguiente análisis.</x:v>
      </x:c>
      <x:c r="L18" s="38"/>
      <x:c r="M18" s="38"/>
      <x:c r="N18" s="38"/>
      <x:c r="O18" s="38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8" t="str">
        <x:v>SERIE PARA PRACTICAR</x:v>
      </x:c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>
      <x:c r="A23" s="40" t="str">
        <x:v>Periodo</x:v>
      </x:c>
      <x:c r="B23" s="40" t="str">
        <x:v>Valor</x:v>
      </x:c>
      <x:c r="C23" s="40" t="str">
        <x:v>Cambio</x:v>
      </x:c>
      <x:c r="D23" s="40" t="str">
        <x:v>Cambio %</x:v>
      </x:c>
      <x:c r="E23" s="40" t="str">
        <x:v>Anotación</x:v>
      </x:c>
      <x:c r="F23" s="40" t="str"/>
      <x:c r="G23" s="40" t="str"/>
      <x:c r="H23" s="1"/>
      <x:c r="I23" s="40" t="str">
        <x:v>Periodo</x:v>
      </x:c>
      <x:c r="J23" s="40" t="str">
        <x:v>Valor</x:v>
      </x:c>
      <x:c r="K23" s="40" t="str">
        <x:v>Cambio</x:v>
      </x:c>
      <x:c r="L23" s="40" t="str">
        <x:v>Cambio %</x:v>
      </x:c>
      <x:c r="M23" s="40" t="str">
        <x:v>Anotación</x:v>
      </x:c>
      <x:c r="N23" s="40" t="str"/>
      <x:c r="O23" s="40" t="str"/>
    </x:row>
    <x:row r="24">
      <x:c r="A24" s="21" t="str">
        <x:v>P1</x:v>
      </x:c>
      <x:c r="B24" s="41" t="n">
        <x:v>100</x:v>
      </x:c>
      <x:c r="C24" s="21" t="str"/>
      <x:c r="D24" s="21" t="str"/>
      <x:c r="E24" s="41" t="str"/>
      <x:c r="F24" s="21" t="str"/>
      <x:c r="G24" s="21" t="str"/>
      <x:c r="H24" s="1"/>
      <x:c r="I24" s="21" t="str">
        <x:v>P1</x:v>
      </x:c>
      <x:c r="J24" s="21" t="n">
        <x:v>100</x:v>
      </x:c>
      <x:c r="K24" s="21" t="str"/>
      <x:c r="L24" s="21" t="str"/>
      <x:c r="M24" s="21" t="str">
        <x:v>Base</x:v>
      </x:c>
      <x:c r="N24" s="21" t="str"/>
      <x:c r="O24" s="21" t="str"/>
    </x:row>
    <x:row r="25">
      <x:c r="A25" s="21" t="str">
        <x:v>P2</x:v>
      </x:c>
      <x:c r="B25" s="41" t="n">
        <x:v>103</x:v>
      </x:c>
      <x:c r="C25" s="21" t="n">
        <x:f>B25-B24</x:f>
        <x:v>3</x:v>
      </x:c>
      <x:c r="D25" s="44" t="n">
        <x:f>IF(B24=0,"n.a.",B25/B24-1)</x:f>
        <x:v>0.030000000000000027</x:v>
      </x:c>
      <x:c r="E25" s="41" t="str"/>
      <x:c r="F25" s="21" t="str"/>
      <x:c r="G25" s="21" t="str"/>
      <x:c r="H25" s="1"/>
      <x:c r="I25" s="21" t="str">
        <x:v>P2</x:v>
      </x:c>
      <x:c r="J25" s="21" t="n">
        <x:v>103</x:v>
      </x:c>
      <x:c r="K25" s="21" t="n">
        <x:f>J25-J24</x:f>
        <x:v>3</x:v>
      </x:c>
      <x:c r="L25" s="44" t="n">
        <x:f>IF(J24=0,"n.a.",J25/J24-1)</x:f>
        <x:v>0.030000000000000027</x:v>
      </x:c>
      <x:c r="M25" s="21" t="str">
        <x:v>Crecimiento moderado</x:v>
      </x:c>
      <x:c r="N25" s="21" t="str"/>
      <x:c r="O25" s="21" t="str"/>
    </x:row>
    <x:row r="26">
      <x:c r="A26" s="21" t="str">
        <x:v>P3</x:v>
      </x:c>
      <x:c r="B26" s="41" t="n">
        <x:v>101</x:v>
      </x:c>
      <x:c r="C26" s="21" t="n">
        <x:f>B26-B25</x:f>
        <x:v>-2</x:v>
      </x:c>
      <x:c r="D26" s="44" t="n">
        <x:f>IF(B25=0,"n.a.",B26/B25-1)</x:f>
        <x:v>-0.01941747572815533</x:v>
      </x:c>
      <x:c r="E26" s="41" t="str"/>
      <x:c r="F26" s="21" t="str"/>
      <x:c r="G26" s="21" t="str"/>
      <x:c r="H26" s="1"/>
      <x:c r="I26" s="21" t="str">
        <x:v>P3</x:v>
      </x:c>
      <x:c r="J26" s="21" t="n">
        <x:v>101</x:v>
      </x:c>
      <x:c r="K26" s="21" t="n">
        <x:f>J26-J25</x:f>
        <x:v>-2</x:v>
      </x:c>
      <x:c r="L26" s="44" t="n">
        <x:f>IF(J25=0,"n.a.",J26/J25-1)</x:f>
        <x:v>-0.01941747572815533</x:v>
      </x:c>
      <x:c r="M26" s="21" t="str">
        <x:v>Retroceso breve</x:v>
      </x:c>
      <x:c r="N26" s="21" t="str"/>
      <x:c r="O26" s="21" t="str"/>
    </x:row>
    <x:row r="27">
      <x:c r="A27" s="21" t="str">
        <x:v>P4</x:v>
      </x:c>
      <x:c r="B27" s="41" t="n">
        <x:v>108</x:v>
      </x:c>
      <x:c r="C27" s="21" t="n">
        <x:f>B27-B26</x:f>
        <x:v>7</x:v>
      </x:c>
      <x:c r="D27" s="44" t="n">
        <x:f>IF(B26=0,"n.a.",B27/B26-1)</x:f>
        <x:v>0.06930693069306937</x:v>
      </x:c>
      <x:c r="E27" s="41" t="str"/>
      <x:c r="F27" s="21" t="str"/>
      <x:c r="G27" s="21" t="str"/>
      <x:c r="H27" s="1"/>
      <x:c r="I27" s="21" t="str">
        <x:v>P4</x:v>
      </x:c>
      <x:c r="J27" s="21" t="n">
        <x:v>108</x:v>
      </x:c>
      <x:c r="K27" s="21" t="n">
        <x:f>J27-J26</x:f>
        <x:v>7</x:v>
      </x:c>
      <x:c r="L27" s="44" t="n">
        <x:f>IF(J26=0,"n.a.",J27/J26-1)</x:f>
        <x:v>0.06930693069306937</x:v>
      </x:c>
      <x:c r="M27" s="21" t="str">
        <x:v>Recuperación</x:v>
      </x:c>
      <x:c r="N27" s="21" t="str"/>
      <x:c r="O27" s="21" t="str"/>
    </x:row>
    <x:row r="28">
      <x:c r="A28" s="21" t="str">
        <x:v>P5</x:v>
      </x:c>
      <x:c r="B28" s="41" t="n">
        <x:v>117</x:v>
      </x:c>
      <x:c r="C28" s="21" t="n">
        <x:f>B28-B27</x:f>
        <x:v>9</x:v>
      </x:c>
      <x:c r="D28" s="44" t="n">
        <x:f>IF(B27=0,"n.a.",B28/B27-1)</x:f>
        <x:v>0.08333333333333326</x:v>
      </x:c>
      <x:c r="E28" s="41" t="str"/>
      <x:c r="F28" s="21" t="str"/>
      <x:c r="G28" s="21" t="str"/>
      <x:c r="H28" s="1"/>
      <x:c r="I28" s="21" t="str">
        <x:v>P5</x:v>
      </x:c>
      <x:c r="J28" s="21" t="n">
        <x:v>117</x:v>
      </x:c>
      <x:c r="K28" s="21" t="n">
        <x:f>J28-J27</x:f>
        <x:v>9</x:v>
      </x:c>
      <x:c r="L28" s="44" t="n">
        <x:f>IF(J27=0,"n.a.",J28/J27-1)</x:f>
        <x:v>0.08333333333333326</x:v>
      </x:c>
      <x:c r="M28" s="21" t="str">
        <x:v>Aceleración</x:v>
      </x:c>
      <x:c r="N28" s="21" t="str"/>
      <x:c r="O28" s="21" t="str"/>
    </x:row>
    <x:row r="29">
      <x:c r="A29" s="21" t="str">
        <x:v>P6</x:v>
      </x:c>
      <x:c r="B29" s="41" t="n">
        <x:v>119</x:v>
      </x:c>
      <x:c r="C29" s="21" t="n">
        <x:f>B29-B28</x:f>
        <x:v>2</x:v>
      </x:c>
      <x:c r="D29" s="44" t="n">
        <x:f>IF(B28=0,"n.a.",B29/B28-1)</x:f>
        <x:v>0.017094017094017033</x:v>
      </x:c>
      <x:c r="E29" s="41" t="str"/>
      <x:c r="F29" s="21" t="str"/>
      <x:c r="G29" s="21" t="str"/>
      <x:c r="H29" s="1"/>
      <x:c r="I29" s="21" t="str">
        <x:v>P6</x:v>
      </x:c>
      <x:c r="J29" s="21" t="n">
        <x:v>119</x:v>
      </x:c>
      <x:c r="K29" s="21" t="n">
        <x:f>J29-J28</x:f>
        <x:v>2</x:v>
      </x:c>
      <x:c r="L29" s="44" t="n">
        <x:f>IF(J28=0,"n.a.",J29/J28-1)</x:f>
        <x:v>0.017094017094017033</x:v>
      </x:c>
      <x:c r="M29" s="21" t="str">
        <x:v>Crecimiento estable</x:v>
      </x:c>
      <x:c r="N29" s="21" t="str"/>
      <x:c r="O29" s="21" t="str"/>
    </x:row>
    <x:row r="30">
      <x:c r="A30" s="21" t="str">
        <x:v>P7</x:v>
      </x:c>
      <x:c r="B30" s="41" t="n">
        <x:v>121</x:v>
      </x:c>
      <x:c r="C30" s="21" t="n">
        <x:f>B30-B29</x:f>
        <x:v>2</x:v>
      </x:c>
      <x:c r="D30" s="44" t="n">
        <x:f>IF(B29=0,"n.a.",B30/B29-1)</x:f>
        <x:v>0.01680672268907557</x:v>
      </x:c>
      <x:c r="E30" s="41" t="str"/>
      <x:c r="F30" s="21" t="str"/>
      <x:c r="G30" s="21" t="str"/>
      <x:c r="H30" s="1"/>
      <x:c r="I30" s="21" t="str">
        <x:v>P7</x:v>
      </x:c>
      <x:c r="J30" s="21" t="n">
        <x:v>121</x:v>
      </x:c>
      <x:c r="K30" s="21" t="n">
        <x:f>J30-J29</x:f>
        <x:v>2</x:v>
      </x:c>
      <x:c r="L30" s="44" t="n">
        <x:f>IF(J29=0,"n.a.",J30/J29-1)</x:f>
        <x:v>0.01680672268907557</x:v>
      </x:c>
      <x:c r="M30" s="21" t="str">
        <x:v>Máximo de la serie</x:v>
      </x:c>
      <x:c r="N30" s="21" t="str"/>
      <x:c r="O30" s="21" t="str"/>
    </x:row>
    <x:row r="31">
      <x:c r="A31" s="21" t="str">
        <x:v>Total cambio</x:v>
      </x:c>
      <x:c r="B31" s="21" t="n">
        <x:f>B30-B24</x:f>
        <x:v>21</x:v>
      </x:c>
      <x:c r="C31" s="21" t="str"/>
      <x:c r="D31" s="21" t="str"/>
      <x:c r="E31" s="21" t="str"/>
      <x:c r="F31" s="21" t="str"/>
      <x:c r="G31" s="21" t="str"/>
      <x:c r="H31" s="1"/>
      <x:c r="I31" s="21" t="str">
        <x:v>Total cambio</x:v>
      </x:c>
      <x:c r="J31" s="21" t="n">
        <x:v>21</x:v>
      </x:c>
      <x:c r="K31" s="21" t="str"/>
      <x:c r="L31" s="44" t="n">
        <x:v>0.21</x:v>
      </x:c>
      <x:c r="M31" s="21" t="str">
        <x:v>Aumento acumulado</x:v>
      </x:c>
      <x:c r="N31" s="21" t="str"/>
      <x:c r="O31" s="21" t="str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G6"/>
    <x:mergeCell ref="I6:O6"/>
    <x:mergeCell ref="A7:B7"/>
    <x:mergeCell ref="C7:G7"/>
    <x:mergeCell ref="I7:J7"/>
    <x:mergeCell ref="K7:O7"/>
    <x:mergeCell ref="A8:B8"/>
    <x:mergeCell ref="C8:G8"/>
    <x:mergeCell ref="I8:J8"/>
    <x:mergeCell ref="K8:O8"/>
    <x:mergeCell ref="A9:B9"/>
    <x:mergeCell ref="C9:G9"/>
    <x:mergeCell ref="I9:J9"/>
    <x:mergeCell ref="K9:O9"/>
    <x:mergeCell ref="A10:B10"/>
    <x:mergeCell ref="C10:G10"/>
    <x:mergeCell ref="I10:J10"/>
    <x:mergeCell ref="K10:O10"/>
    <x:mergeCell ref="A11:B11"/>
    <x:mergeCell ref="C11:G11"/>
    <x:mergeCell ref="I11:J11"/>
    <x:mergeCell ref="K11:O11"/>
    <x:mergeCell ref="A12:B12"/>
    <x:mergeCell ref="C12:G12"/>
    <x:mergeCell ref="I12:J12"/>
    <x:mergeCell ref="K12:O12"/>
    <x:mergeCell ref="A13:B13"/>
    <x:mergeCell ref="C13:G13"/>
    <x:mergeCell ref="I13:J13"/>
    <x:mergeCell ref="K13:O13"/>
    <x:mergeCell ref="A14:B14"/>
    <x:mergeCell ref="C14:G14"/>
    <x:mergeCell ref="I14:J14"/>
    <x:mergeCell ref="K14:O14"/>
    <x:mergeCell ref="A15:B15"/>
    <x:mergeCell ref="C15:G15"/>
    <x:mergeCell ref="I15:J15"/>
    <x:mergeCell ref="K15:O15"/>
    <x:mergeCell ref="A18:B18"/>
    <x:mergeCell ref="C18:G18"/>
    <x:mergeCell ref="I18:J18"/>
    <x:mergeCell ref="K18:O18"/>
    <x:mergeCell ref="A21:O21"/>
  </x:mergeCells>
  <x:pageMargins left="0.7" right="0.7" top="0.75" bottom="0.75" header="0.3" footer="0.3"/>
  <x:drawing xmlns:r="http://schemas.openxmlformats.org/officeDocument/2006/relationships" r:id="Rc8e79e1215354d54"/>
</x:worksheet>
</file>

<file path=xl/worksheets/sheet8.xml><?xml version="1.0" encoding="utf-8"?>
<x:worksheet xmlns:x="http://schemas.openxmlformats.org/spreadsheetml/2006/main">
  <x:sheetPr>
    <x:tabColor rgb="FF3A3D41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3" hidden="0" customWidth="1"/>
    <x:col min="9" max="9" width="15" hidden="0" customWidth="1"/>
    <x:col min="10" max="10" width="1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8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30" customHeight="1">
      <x:c r="A2" s="2" t="str">
        <x:v>Caso integrador. Brief ejecutivo para Power BI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8" customHeight="1">
      <x:c r="A4" s="5" t="str">
        <x:v>Combine definición, insight, diseño, jerarquía, gobierno y narrativa en una propuesta de una página.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8" t="str">
        <x:v>CASO: EXPERIENCIA DE TRANSACCIONES DIGITALES</x:v>
      </x:c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53" t="str">
        <x:v>El área responsable observa un aumento en la tasa de rechazo y necesita una página ejecutiva que permita identificar la magnitud, los canales que explican el cambio y el siguiente análisis recomendado. Complete los campos amarillos.</x:v>
      </x:c>
      <x:c r="B8" s="53"/>
      <x:c r="C8" s="53"/>
      <x:c r="D8" s="53"/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</x:row>
    <x:row r="12" ht="30" customHeight="1">
      <x:c r="A12" s="34" t="str">
        <x:v>1. Audiencia y decisión</x:v>
      </x:c>
      <x:c r="B12" s="34"/>
      <x:c r="C12" s="34"/>
      <x:c r="D12" s="34"/>
      <x:c r="E12" s="41" t="str">
        <x:v>Defina quién utilizará la página y qué decisión tomará.</x:v>
      </x:c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</x:row>
    <x:row r="13" ht="30" customHeight="1">
      <x:c r="A13" s="1"/>
      <x:c r="B13" s="1"/>
      <x:c r="C13" s="1"/>
      <x:c r="D13" s="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</x:row>
    <x:row r="15" ht="30" customHeight="1">
      <x:c r="A15" s="7" t="str">
        <x:v>2. KPI estándar</x:v>
      </x:c>
      <x:c r="B15" s="7"/>
      <x:c r="C15" s="7"/>
      <x:c r="D15" s="7"/>
      <x:c r="E15" s="41" t="str">
        <x:v>Documente nombre, fórmula, alcance, tiempo y responsable.</x:v>
      </x:c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</x:row>
    <x:row r="16" ht="30" customHeight="1">
      <x:c r="A16" s="1"/>
      <x:c r="B16" s="1"/>
      <x:c r="C16" s="1"/>
      <x:c r="D16" s="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30" customHeight="1">
      <x:c r="A18" s="34" t="str">
        <x:v>3. Insight principal</x:v>
      </x:c>
      <x:c r="B18" s="34"/>
      <x:c r="C18" s="34"/>
      <x:c r="D18" s="34"/>
      <x:c r="E18" s="41" t="str">
        <x:v>Incluya valor, referencia, variación y concentración.</x:v>
      </x:c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</x:row>
    <x:row r="19" ht="30" customHeight="1">
      <x:c r="A19" s="1"/>
      <x:c r="B19" s="1"/>
      <x:c r="C19" s="1"/>
      <x:c r="D19" s="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30" customHeight="1">
      <x:c r="A21" s="7" t="str">
        <x:v>4. Narrativa</x:v>
      </x:c>
      <x:c r="B21" s="7"/>
      <x:c r="C21" s="7"/>
      <x:c r="D21" s="7"/>
      <x:c r="E21" s="41" t="str">
        <x:v>Redacte contexto, tensión y resolución.</x:v>
      </x:c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</x:row>
    <x:row r="22" ht="30" customHeight="1">
      <x:c r="A22" s="1"/>
      <x:c r="B22" s="1"/>
      <x:c r="C22" s="1"/>
      <x:c r="D22" s="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30" customHeight="1">
      <x:c r="A24" s="34" t="str">
        <x:v>5. Arquitectura</x:v>
      </x:c>
      <x:c r="B24" s="34"/>
      <x:c r="C24" s="34"/>
      <x:c r="D24" s="34"/>
      <x:c r="E24" s="41" t="str">
        <x:v>Ordene KPI, tendencia, drivers y acción.</x:v>
      </x:c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</x:row>
    <x:row r="25" ht="30" customHeight="1">
      <x:c r="A25" s="1"/>
      <x:c r="B25" s="1"/>
      <x:c r="C25" s="1"/>
      <x:c r="D25" s="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</x:row>
    <x:row r="27" ht="30" customHeight="1">
      <x:c r="A27" s="7" t="str">
        <x:v>6. Jerarquía visual</x:v>
      </x:c>
      <x:c r="B27" s="7"/>
      <x:c r="C27" s="7"/>
      <x:c r="D27" s="7"/>
      <x:c r="E27" s="41" t="str">
        <x:v>Defina el uso de tamaño, contraste, posición y espacio.</x:v>
      </x:c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</x:row>
    <x:row r="28" ht="30" customHeight="1">
      <x:c r="A28" s="1"/>
      <x:c r="B28" s="1"/>
      <x:c r="C28" s="1"/>
      <x:c r="D28" s="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 ht="30" customHeight="1">
      <x:c r="A30" s="34" t="str">
        <x:v>7. Validación</x:v>
      </x:c>
      <x:c r="B30" s="34"/>
      <x:c r="C30" s="34"/>
      <x:c r="D30" s="34"/>
      <x:c r="E30" s="41" t="str">
        <x:v>Indique al menos dos controles de calidad.</x:v>
      </x:c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</x:row>
    <x:row r="31" ht="30" customHeight="1">
      <x:c r="A31" s="1"/>
      <x:c r="B31" s="1"/>
      <x:c r="C31" s="1"/>
      <x:c r="D31" s="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 ht="30" customHeight="1">
      <x:c r="A33" s="7" t="str">
        <x:v>8. Guion de cierre</x:v>
      </x:c>
      <x:c r="B33" s="7"/>
      <x:c r="C33" s="7"/>
      <x:c r="D33" s="7"/>
      <x:c r="E33" s="41" t="str">
        <x:v>Escriba un mensaje ejecutivo de máximo cuatro frases.</x:v>
      </x:c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</x:row>
    <x:row r="34" ht="30" customHeight="1">
      <x:c r="A34" s="1"/>
      <x:c r="B34" s="1"/>
      <x:c r="C34" s="1"/>
      <x:c r="D34" s="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3" customHeight="1">
      <x:c r="A37" s="8" t="str">
        <x:v>CRITERIOS DE ENTREGA</x:v>
      </x:c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>
      <x:c r="A39" s="40" t="str">
        <x:v>Criterio</x:v>
      </x:c>
      <x:c r="B39" s="40" t="str">
        <x:v>Cumple</x:v>
      </x:c>
      <x:c r="C39" s="40" t="str">
        <x:v>Evidencia</x:v>
      </x:c>
      <x:c r="D39" s="40" t="str"/>
      <x:c r="E39" s="40" t="str"/>
      <x:c r="F39" s="40" t="str"/>
      <x:c r="G39" s="40" t="str"/>
      <x:c r="H39" s="40" t="str"/>
      <x:c r="I39" s="40" t="str"/>
      <x:c r="J39" s="40" t="str"/>
      <x:c r="K39" s="40" t="str"/>
      <x:c r="L39" s="40" t="str"/>
      <x:c r="M39" s="40" t="str"/>
      <x:c r="N39" s="40" t="str"/>
      <x:c r="O39" s="40" t="str"/>
    </x:row>
    <x:row r="40">
      <x:c r="A40" s="21" t="str">
        <x:v>El mensaje distingue hechos e hipótesis</x:v>
      </x:c>
      <x:c r="B40" s="4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  <x:c r="L40" s="21" t="str"/>
      <x:c r="M40" s="21" t="str"/>
      <x:c r="N40" s="21" t="str"/>
      <x:c r="O40" s="21" t="str"/>
    </x:row>
    <x:row r="41">
      <x:c r="A41" s="21" t="str">
        <x:v>Cada visual responde una pregunta</x:v>
      </x:c>
      <x:c r="B41" s="4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  <x:c r="L41" s="21" t="str"/>
      <x:c r="M41" s="21" t="str"/>
      <x:c r="N41" s="21" t="str"/>
      <x:c r="O41" s="21" t="str"/>
    </x:row>
    <x:row r="42">
      <x:c r="A42" s="21" t="str">
        <x:v>El KPI tiene una definición reproducible</x:v>
      </x:c>
      <x:c r="B42" s="4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  <x:c r="L42" s="21" t="str"/>
      <x:c r="M42" s="21" t="str"/>
      <x:c r="N42" s="21" t="str"/>
      <x:c r="O42" s="21" t="str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</x:row>
  </x:sheetData>
  <x:mergeCells>
    <x:mergeCell ref="A2:O2"/>
    <x:mergeCell ref="A4:O4"/>
    <x:mergeCell ref="A6:O6"/>
    <x:mergeCell ref="A8:O9"/>
    <x:mergeCell ref="A12:D12"/>
    <x:mergeCell ref="E12:O13"/>
    <x:mergeCell ref="A15:D15"/>
    <x:mergeCell ref="E15:O16"/>
    <x:mergeCell ref="A18:D18"/>
    <x:mergeCell ref="E18:O19"/>
    <x:mergeCell ref="A21:D21"/>
    <x:mergeCell ref="E21:O22"/>
    <x:mergeCell ref="A24:D24"/>
    <x:mergeCell ref="E24:O25"/>
    <x:mergeCell ref="A27:D27"/>
    <x:mergeCell ref="E27:O28"/>
    <x:mergeCell ref="A30:D30"/>
    <x:mergeCell ref="E30:O31"/>
    <x:mergeCell ref="A33:D33"/>
    <x:mergeCell ref="E33:O34"/>
    <x:mergeCell ref="A37:O37"/>
    <x:mergeCell ref="C39:O39"/>
    <x:mergeCell ref="C40:O40"/>
    <x:mergeCell ref="C41:O41"/>
    <x:mergeCell ref="C42:O42"/>
  </x:mergeCells>
  <x:pageMargins left="0.7" right="0.7" top="0.75" bottom="0.75" header="0.3" footer="0.3"/>
</x:worksheet>
</file>