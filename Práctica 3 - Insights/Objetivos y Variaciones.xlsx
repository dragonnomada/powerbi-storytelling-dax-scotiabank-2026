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powerbi-storytelling-dax-scotiabank-2026/Práctica 3 - Insights/"/>
    </mc:Choice>
  </mc:AlternateContent>
  <xr:revisionPtr revIDLastSave="0" documentId="13_ncr:1_{44A48126-DE51-6047-8D7E-910FCFEF51E0}" xr6:coauthVersionLast="47" xr6:coauthVersionMax="47" xr10:uidLastSave="{00000000-0000-0000-0000-000000000000}"/>
  <bookViews>
    <workbookView xWindow="0" yWindow="0" windowWidth="28800" windowHeight="18000" xr2:uid="{8A56C6DA-E128-9B47-AD0B-B1F5DBEA1EB2}"/>
  </bookViews>
  <sheets>
    <sheet name="Objetivo vs Resultado" sheetId="1" r:id="rId1"/>
    <sheet name="Lectura Cumplimiento" sheetId="2" r:id="rId2"/>
    <sheet name="Variacion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K17" i="3"/>
  <c r="K16" i="3"/>
  <c r="I16" i="3"/>
  <c r="I17" i="3"/>
  <c r="I15" i="3"/>
  <c r="H16" i="3"/>
  <c r="H17" i="3"/>
  <c r="H15" i="3"/>
  <c r="K12" i="3"/>
  <c r="K11" i="3"/>
  <c r="H12" i="3"/>
  <c r="H11" i="3"/>
  <c r="I12" i="3"/>
  <c r="I11" i="3"/>
  <c r="G17" i="3"/>
  <c r="G16" i="3"/>
  <c r="G15" i="3"/>
  <c r="G12" i="3"/>
  <c r="G11" i="3"/>
  <c r="I8" i="2"/>
  <c r="G8" i="2"/>
  <c r="H8" i="2"/>
  <c r="F18" i="1"/>
  <c r="D18" i="1"/>
  <c r="C18" i="1"/>
  <c r="C7" i="1"/>
  <c r="C8" i="1"/>
  <c r="C9" i="1" s="1"/>
  <c r="C6" i="1"/>
  <c r="I17" i="1"/>
  <c r="G6" i="1"/>
  <c r="G7" i="1"/>
  <c r="G5" i="1"/>
  <c r="F6" i="1"/>
  <c r="F7" i="1"/>
  <c r="F5" i="1"/>
  <c r="E6" i="1"/>
  <c r="E7" i="1"/>
  <c r="E5" i="1"/>
  <c r="F9" i="1" l="1"/>
  <c r="G9" i="1" s="1"/>
  <c r="E9" i="1"/>
  <c r="C10" i="1"/>
  <c r="E8" i="1"/>
  <c r="F8" i="1"/>
  <c r="G8" i="1" s="1"/>
  <c r="E10" i="1" l="1"/>
  <c r="C11" i="1"/>
  <c r="F10" i="1"/>
  <c r="G10" i="1" l="1"/>
  <c r="E11" i="1"/>
  <c r="C12" i="1"/>
  <c r="F11" i="1"/>
  <c r="G11" i="1" s="1"/>
  <c r="E12" i="1" l="1"/>
  <c r="C13" i="1"/>
  <c r="F12" i="1"/>
  <c r="G12" i="1" s="1"/>
  <c r="E13" i="1" l="1"/>
  <c r="C14" i="1"/>
  <c r="F13" i="1"/>
  <c r="G13" i="1" l="1"/>
  <c r="C15" i="1"/>
  <c r="F14" i="1"/>
  <c r="G14" i="1" s="1"/>
  <c r="E14" i="1"/>
  <c r="C16" i="1" l="1"/>
  <c r="F15" i="1"/>
  <c r="G15" i="1" s="1"/>
  <c r="E15" i="1"/>
  <c r="F16" i="1" l="1"/>
  <c r="E16" i="1"/>
  <c r="G16" i="1" l="1"/>
  <c r="G18" i="1" l="1"/>
  <c r="K19" i="1" s="1"/>
  <c r="I19" i="1"/>
  <c r="E18" i="1"/>
</calcChain>
</file>

<file path=xl/sharedStrings.xml><?xml version="1.0" encoding="utf-8"?>
<sst xmlns="http://schemas.openxmlformats.org/spreadsheetml/2006/main" count="61" uniqueCount="48">
  <si>
    <t>PERIODO</t>
  </si>
  <si>
    <t>META</t>
  </si>
  <si>
    <t>OBJETIVO</t>
  </si>
  <si>
    <t>RESULTADO</t>
  </si>
  <si>
    <t>VALOR</t>
  </si>
  <si>
    <t>KPI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</si>
  <si>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</si>
  <si>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</si>
  <si>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</si>
  <si>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</si>
  <si>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</si>
  <si>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</si>
  <si>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</si>
  <si>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</si>
  <si>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</si>
  <si>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</si>
  <si>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</si>
  <si>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</si>
  <si>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CUMPLIMIENTO</t>
  </si>
  <si>
    <t>BRECHA</t>
  </si>
  <si>
    <t>% BRECHA</t>
  </si>
  <si>
    <t>VENTAS SUPERADAS</t>
  </si>
  <si>
    <t>T1</t>
  </si>
  <si>
    <t>Objetivo</t>
  </si>
  <si>
    <t>Resultado</t>
  </si>
  <si>
    <t>Meta</t>
  </si>
  <si>
    <t>Valor</t>
  </si>
  <si>
    <t>CUMPLE</t>
  </si>
  <si>
    <t>NO MEJORA</t>
  </si>
  <si>
    <t>LECTURA</t>
  </si>
  <si>
    <t>CUMPLE PERO NO MEJORA (DETERIORA)</t>
  </si>
  <si>
    <t>PREVENIR PÉRDIDA DEL MARGEN</t>
  </si>
  <si>
    <t>INSIGHT</t>
  </si>
  <si>
    <t>Los resultados para aperturas son 4,800 de 5,600 esperadas (86%)</t>
  </si>
  <si>
    <t>Se tiene un deterioro de las aperturas del 14% respecto a la meta</t>
  </si>
  <si>
    <t>MEDIDAS</t>
  </si>
  <si>
    <t>Transacciones intentadas</t>
  </si>
  <si>
    <t>Transacciones rechazadas</t>
  </si>
  <si>
    <t>Tasa de rechazo</t>
  </si>
  <si>
    <t>/</t>
  </si>
  <si>
    <t>YoY</t>
  </si>
  <si>
    <t>MoM</t>
  </si>
  <si>
    <t>VARIACIÓN</t>
  </si>
  <si>
    <t>ABSOLUTA</t>
  </si>
  <si>
    <t>PORCENTUAL</t>
  </si>
  <si>
    <t>P.P.</t>
  </si>
  <si>
    <t>INDICE</t>
  </si>
  <si>
    <t>CAÍDA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</si>
</sst>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9" fontId="0" fillId="0" borderId="0" xfId="1" applyFont="1"/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/>
    <xf numFmtId="9" fontId="2" fillId="0" borderId="8" xfId="0" applyNumberFormat="1" applyFont="1" applyBorder="1"/>
    <xf numFmtId="1" fontId="2" fillId="0" borderId="6" xfId="0" applyNumberFormat="1" applyFont="1" applyBorder="1"/>
    <xf numFmtId="1" fontId="0" fillId="0" borderId="4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6" fillId="6" borderId="0" xfId="0" applyFont="1" applyFill="1" applyAlignment="1">
      <alignment horizontal="center"/>
    </xf>
    <xf numFmtId="9" fontId="2" fillId="0" borderId="0" xfId="1" applyFont="1"/>
    <xf numFmtId="9" fontId="5" fillId="0" borderId="0" xfId="1" applyFont="1"/>
    <xf numFmtId="10" fontId="0" fillId="0" borderId="0" xfId="0" applyNumberFormat="1"/>
    <xf numFmtId="10" fontId="0" fillId="5" borderId="0" xfId="0" applyNumberFormat="1" applyFill="1"/>
    <xf numFmtId="9" fontId="0" fillId="5" borderId="0" xfId="1" applyFont="1" applyFill="1"/>
  </cellXfs>
  <cellStyles count="2"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'Objetivo vs Resultado'!$F$5:$F$16</c:f>
              <c:numCache>
                <c:formatCode>0</c:formatCode>
                <c:ptCount val="12"/>
                <c:pt idx="0">
                  <c:v>-200</c:v>
                </c:pt>
                <c:pt idx="1">
                  <c:v>-320</c:v>
                </c:pt>
                <c:pt idx="2">
                  <c:v>159.59999999999991</c:v>
                </c:pt>
                <c:pt idx="3">
                  <c:v>338.79199999999992</c:v>
                </c:pt>
                <c:pt idx="4">
                  <c:v>17.567839999999933</c:v>
                </c:pt>
                <c:pt idx="5">
                  <c:v>-104.08080319999999</c:v>
                </c:pt>
                <c:pt idx="6">
                  <c:v>-126.16241926399994</c:v>
                </c:pt>
                <c:pt idx="7">
                  <c:v>451.31433235071995</c:v>
                </c:pt>
                <c:pt idx="8">
                  <c:v>-471.65938100226572</c:v>
                </c:pt>
                <c:pt idx="9">
                  <c:v>-395.09256862231109</c:v>
                </c:pt>
                <c:pt idx="10">
                  <c:v>-318.99441999475744</c:v>
                </c:pt>
                <c:pt idx="11">
                  <c:v>-193.37430839465264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5-B54F-9EFB-EFA53E34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723776"/>
        <c:axId val="2117717056"/>
      </c:barChart>
      <c:catAx>
        <c:axId val="2117723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7717056"/>
        <c:crosses val="autoZero"/>
        <c:auto val="1"/>
        <c:lblAlgn val="ctr"/>
        <c:lblOffset val="100"/>
        <c:noMultiLvlLbl val="0"/>
      </c:catAx>
      <c:valAx>
        <c:axId val="21177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77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250055</xdr:colOff>
      <xdr:row>1</xdr:row>
      <xdr:rowOff>16724</xdr:rowOff>
    </xdr:from>
    <xdr:to>
      <xdr:col>12</xdr:col>
      <xdr:colOff>680750</xdr:colOff>
      <xdr:row>14</xdr:row>
      <xdr:rowOff>93713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87F2B3-4C92-8D27-0462-49CBAC2DD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51F1-4861-724B-A396-AA825838EB46}">
  <dimension ref="A2:K21"/>
  <sheetViews>
    <sheetView tabSelected="1" zoomScale="161" workbookViewId="0">
      <selection activeCell="E8" sqref="E8"/>
    </sheetView>
  </sheetViews>
  <sheetFormatPr baseColWidth="10" defaultRowHeight="16" x14ac:dyDescent="0.2"/>
  <cols>
    <col min="5" max="5" width="16.1640625" customWidth="1"/>
  </cols>
  <sheetData>
    <row r="2" spans="1:11" x14ac:dyDescent="0.2">
      <c r="C2" s="2" t="s">
        <v>5</v>
      </c>
      <c r="D2" s="2"/>
    </row>
    <row r="3" spans="1:11" x14ac:dyDescent="0.2">
      <c r="C3" s="3" t="s">
        <v>2</v>
      </c>
      <c r="D3" s="3" t="s">
        <v>3</v>
      </c>
    </row>
    <row r="4" spans="1:11" x14ac:dyDescent="0.2">
      <c r="B4" s="5" t="s">
        <v>0</v>
      </c>
      <c r="C4" s="4" t="s">
        <v>1</v>
      </c>
      <c r="D4" s="4" t="s">
        <v>4</v>
      </c>
      <c r="E4" s="1" t="s">
        <v>18</v>
      </c>
      <c r="F4" s="1" t="s">
        <v>19</v>
      </c>
      <c r="G4" s="1" t="s">
        <v>20</v>
      </c>
    </row>
    <row r="5" spans="1:11" x14ac:dyDescent="0.2">
      <c r="A5">
        <v>2025</v>
      </c>
      <c r="B5" t="s">
        <v>6</v>
      </c>
      <c r="C5">
        <v>1000</v>
      </c>
      <c r="D5">
        <v>800</v>
      </c>
      <c r="E5" s="6">
        <f>D5/C5</f>
        <v>0.8</v>
      </c>
      <c r="F5" s="14">
        <f>D5-C5</f>
        <v>-200</v>
      </c>
      <c r="G5" s="6">
        <f>F5/C5</f>
        <v>-0.2</v>
      </c>
    </row>
    <row r="6" spans="1:11" x14ac:dyDescent="0.2">
      <c r="B6" t="s">
        <v>7</v>
      </c>
      <c r="C6" s="14">
        <f>C5*1.02</f>
        <v>1020</v>
      </c>
      <c r="D6">
        <v>700</v>
      </c>
      <c r="E6" s="6">
        <f t="shared" ref="E6:E16" si="0">D6/C6</f>
        <v>0.68627450980392157</v>
      </c>
      <c r="F6" s="14">
        <f t="shared" ref="F6:F16" si="1">D6-C6</f>
        <v>-320</v>
      </c>
      <c r="G6" s="6">
        <f t="shared" ref="G6:G16" si="2">F6/C6</f>
        <v>-0.31372549019607843</v>
      </c>
    </row>
    <row r="7" spans="1:11" x14ac:dyDescent="0.2">
      <c r="B7" t="s">
        <v>8</v>
      </c>
      <c r="C7" s="14">
        <f t="shared" ref="C7:C16" si="3">C6*1.02</f>
        <v>1040.4000000000001</v>
      </c>
      <c r="D7">
        <v>1200</v>
      </c>
      <c r="E7" s="6">
        <f t="shared" si="0"/>
        <v>1.1534025374855823</v>
      </c>
      <c r="F7" s="14">
        <f t="shared" si="1"/>
        <v>159.59999999999991</v>
      </c>
      <c r="G7" s="6">
        <f t="shared" si="2"/>
        <v>0.15340253748558236</v>
      </c>
    </row>
    <row r="8" spans="1:11" x14ac:dyDescent="0.2">
      <c r="B8" t="s">
        <v>9</v>
      </c>
      <c r="C8" s="14">
        <f t="shared" si="3"/>
        <v>1061.2080000000001</v>
      </c>
      <c r="D8">
        <v>1400</v>
      </c>
      <c r="E8" s="6">
        <f t="shared" si="0"/>
        <v>1.3192512683658622</v>
      </c>
      <c r="F8" s="14">
        <f t="shared" si="1"/>
        <v>338.79199999999992</v>
      </c>
      <c r="G8" s="6">
        <f t="shared" si="2"/>
        <v>0.31925126836586221</v>
      </c>
    </row>
    <row r="9" spans="1:11" x14ac:dyDescent="0.2">
      <c r="B9" t="s">
        <v>10</v>
      </c>
      <c r="C9" s="14">
        <f t="shared" si="3"/>
        <v>1082.4321600000001</v>
      </c>
      <c r="D9">
        <v>1100</v>
      </c>
      <c r="E9" s="6">
        <f t="shared" si="0"/>
        <v>1.0162299686291656</v>
      </c>
      <c r="F9" s="14">
        <f t="shared" si="1"/>
        <v>17.567839999999933</v>
      </c>
      <c r="G9" s="6">
        <f t="shared" si="2"/>
        <v>1.6229968629165575E-2</v>
      </c>
    </row>
    <row r="10" spans="1:11" x14ac:dyDescent="0.2">
      <c r="B10" t="s">
        <v>11</v>
      </c>
      <c r="C10" s="14">
        <f t="shared" si="3"/>
        <v>1104.0808032</v>
      </c>
      <c r="D10">
        <v>1000</v>
      </c>
      <c r="E10" s="6">
        <f t="shared" si="0"/>
        <v>0.90573080982991594</v>
      </c>
      <c r="F10" s="14">
        <f t="shared" si="1"/>
        <v>-104.08080319999999</v>
      </c>
      <c r="G10" s="6">
        <f t="shared" si="2"/>
        <v>-9.4269190170084088E-2</v>
      </c>
    </row>
    <row r="11" spans="1:11" x14ac:dyDescent="0.2">
      <c r="B11" t="s">
        <v>12</v>
      </c>
      <c r="C11" s="14">
        <f t="shared" si="3"/>
        <v>1126.1624192639999</v>
      </c>
      <c r="D11">
        <v>1000</v>
      </c>
      <c r="E11" s="6">
        <f t="shared" si="0"/>
        <v>0.88797138218619209</v>
      </c>
      <c r="F11" s="14">
        <f t="shared" si="1"/>
        <v>-126.16241926399994</v>
      </c>
      <c r="G11" s="6">
        <f t="shared" si="2"/>
        <v>-0.11202861781380789</v>
      </c>
    </row>
    <row r="12" spans="1:11" x14ac:dyDescent="0.2">
      <c r="B12" t="s">
        <v>13</v>
      </c>
      <c r="C12" s="14">
        <f t="shared" si="3"/>
        <v>1148.68566764928</v>
      </c>
      <c r="D12">
        <v>1600</v>
      </c>
      <c r="E12" s="6">
        <f t="shared" si="0"/>
        <v>1.392896285782262</v>
      </c>
      <c r="F12" s="14">
        <f t="shared" si="1"/>
        <v>451.31433235071995</v>
      </c>
      <c r="G12" s="6">
        <f t="shared" si="2"/>
        <v>0.39289628578226199</v>
      </c>
    </row>
    <row r="13" spans="1:11" x14ac:dyDescent="0.2">
      <c r="B13" t="s">
        <v>14</v>
      </c>
      <c r="C13" s="14">
        <f t="shared" si="3"/>
        <v>1171.6593810022657</v>
      </c>
      <c r="D13">
        <v>700</v>
      </c>
      <c r="E13" s="6">
        <f t="shared" si="0"/>
        <v>0.597443259833078</v>
      </c>
      <c r="F13" s="14">
        <f t="shared" si="1"/>
        <v>-471.65938100226572</v>
      </c>
      <c r="G13" s="6">
        <f t="shared" si="2"/>
        <v>-0.402556740166922</v>
      </c>
    </row>
    <row r="14" spans="1:11" x14ac:dyDescent="0.2">
      <c r="B14" t="s">
        <v>15</v>
      </c>
      <c r="C14" s="14">
        <f t="shared" si="3"/>
        <v>1195.0925686223111</v>
      </c>
      <c r="D14">
        <v>800</v>
      </c>
      <c r="E14" s="6">
        <f t="shared" si="0"/>
        <v>0.66940421269812656</v>
      </c>
      <c r="F14" s="14">
        <f t="shared" si="1"/>
        <v>-395.09256862231109</v>
      </c>
      <c r="G14" s="6">
        <f t="shared" si="2"/>
        <v>-0.33059578730187339</v>
      </c>
    </row>
    <row r="15" spans="1:11" ht="17" thickBot="1" x14ac:dyDescent="0.25">
      <c r="B15" t="s">
        <v>16</v>
      </c>
      <c r="C15" s="14">
        <f t="shared" si="3"/>
        <v>1218.9944199947574</v>
      </c>
      <c r="D15">
        <v>900</v>
      </c>
      <c r="E15" s="6">
        <f t="shared" si="0"/>
        <v>0.73831346988763957</v>
      </c>
      <c r="F15" s="14">
        <f t="shared" si="1"/>
        <v>-318.99441999475744</v>
      </c>
      <c r="G15" s="6">
        <f t="shared" si="2"/>
        <v>-0.26168653011236043</v>
      </c>
    </row>
    <row r="16" spans="1:11" x14ac:dyDescent="0.2">
      <c r="B16" t="s">
        <v>17</v>
      </c>
      <c r="C16" s="14">
        <f t="shared" si="3"/>
        <v>1243.3743083946526</v>
      </c>
      <c r="D16">
        <v>1050</v>
      </c>
      <c r="E16" s="6">
        <f t="shared" si="0"/>
        <v>0.84447619104795368</v>
      </c>
      <c r="F16" s="14">
        <f t="shared" si="1"/>
        <v>-193.37430839465264</v>
      </c>
      <c r="G16" s="6">
        <f t="shared" si="2"/>
        <v>-0.15552380895204629</v>
      </c>
      <c r="I16" s="10" t="s">
        <v>2</v>
      </c>
      <c r="J16" s="11"/>
      <c r="K16" s="12"/>
    </row>
    <row r="17" spans="3:11" x14ac:dyDescent="0.2">
      <c r="F17" s="14"/>
      <c r="G17" s="6"/>
      <c r="I17" s="17">
        <f>C18</f>
        <v>1243.3743083946526</v>
      </c>
      <c r="J17" s="18"/>
      <c r="K17" s="19"/>
    </row>
    <row r="18" spans="3:11" x14ac:dyDescent="0.2">
      <c r="C18" s="14">
        <f>C16</f>
        <v>1243.3743083946526</v>
      </c>
      <c r="D18">
        <f>D16</f>
        <v>1050</v>
      </c>
      <c r="E18" s="6">
        <f>D18/C18</f>
        <v>0.84447619104795368</v>
      </c>
      <c r="F18" s="14">
        <f>D18-C18</f>
        <v>-193.37430839465264</v>
      </c>
      <c r="G18" s="6">
        <f>F18/C18</f>
        <v>-0.15552380895204629</v>
      </c>
      <c r="I18" s="8" t="s">
        <v>21</v>
      </c>
      <c r="J18" s="9"/>
      <c r="K18" s="13"/>
    </row>
    <row r="19" spans="3:11" ht="17" thickBot="1" x14ac:dyDescent="0.25">
      <c r="I19" s="16">
        <f>F18</f>
        <v>-193.37430839465264</v>
      </c>
      <c r="J19" s="7"/>
      <c r="K19" s="15">
        <f>G18</f>
        <v>-0.15552380895204629</v>
      </c>
    </row>
    <row r="21" spans="3:11" x14ac:dyDescent="0.2">
      <c r="F21" s="14">
        <f>SUM(F5:F16)</f>
        <v>-1162.0897281272671</v>
      </c>
    </row>
  </sheetData>
  <mergeCells count="4">
    <mergeCell ref="C2:D2"/>
    <mergeCell ref="I18:K18"/>
    <mergeCell ref="I16:K16"/>
    <mergeCell ref="I17:K17"/>
  </mergeCells>
  <phoneticPr fontId="4" type="noConversion"/>
  <conditionalFormatting sqref="F5:F16 F1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D7B8-C43C-BB45-89A3-9227F290BD3A}">
  <dimension ref="C4:I17"/>
  <sheetViews>
    <sheetView topLeftCell="B2" zoomScale="175" workbookViewId="0">
      <selection activeCell="F9" sqref="F9"/>
    </sheetView>
  </sheetViews>
  <sheetFormatPr baseColWidth="10" defaultRowHeight="16" x14ac:dyDescent="0.2"/>
  <cols>
    <col min="7" max="7" width="18.1640625" customWidth="1"/>
  </cols>
  <sheetData>
    <row r="4" spans="3:9" x14ac:dyDescent="0.2">
      <c r="E4" t="s">
        <v>5</v>
      </c>
    </row>
    <row r="5" spans="3:9" x14ac:dyDescent="0.2">
      <c r="E5" t="s">
        <v>23</v>
      </c>
      <c r="F5" t="s">
        <v>24</v>
      </c>
    </row>
    <row r="6" spans="3:9" x14ac:dyDescent="0.2">
      <c r="E6" t="s">
        <v>25</v>
      </c>
      <c r="F6" t="s">
        <v>26</v>
      </c>
      <c r="G6" t="s">
        <v>18</v>
      </c>
      <c r="H6" t="s">
        <v>19</v>
      </c>
      <c r="I6" t="s">
        <v>20</v>
      </c>
    </row>
    <row r="7" spans="3:9" x14ac:dyDescent="0.2">
      <c r="C7">
        <v>2025</v>
      </c>
      <c r="D7" t="s">
        <v>22</v>
      </c>
      <c r="F7">
        <v>5600</v>
      </c>
    </row>
    <row r="8" spans="3:9" x14ac:dyDescent="0.2">
      <c r="C8">
        <v>2026</v>
      </c>
      <c r="D8" t="s">
        <v>22</v>
      </c>
      <c r="E8">
        <v>5600</v>
      </c>
      <c r="F8">
        <v>4800</v>
      </c>
      <c r="G8" s="24">
        <f>F8/E8</f>
        <v>0.8571428571428571</v>
      </c>
      <c r="H8">
        <f>F8-E8</f>
        <v>-800</v>
      </c>
      <c r="I8" s="23">
        <f>H8/E8</f>
        <v>-0.14285714285714285</v>
      </c>
    </row>
    <row r="11" spans="3:9" x14ac:dyDescent="0.2">
      <c r="G11" s="20" t="s">
        <v>27</v>
      </c>
      <c r="I11" s="21" t="s">
        <v>28</v>
      </c>
    </row>
    <row r="13" spans="3:9" x14ac:dyDescent="0.2">
      <c r="F13" t="s">
        <v>29</v>
      </c>
      <c r="G13" s="22" t="s">
        <v>30</v>
      </c>
      <c r="H13" s="22"/>
      <c r="I13" s="22"/>
    </row>
    <row r="14" spans="3:9" x14ac:dyDescent="0.2">
      <c r="G14" s="22" t="s">
        <v>31</v>
      </c>
      <c r="H14" s="22"/>
      <c r="I14" s="22"/>
    </row>
    <row r="16" spans="3:9" x14ac:dyDescent="0.2">
      <c r="D16" t="s">
        <v>32</v>
      </c>
      <c r="E16" t="s">
        <v>33</v>
      </c>
    </row>
    <row r="17" spans="5:5" x14ac:dyDescent="0.2">
      <c r="E17" t="s">
        <v>34</v>
      </c>
    </row>
  </sheetData>
  <mergeCells count="2">
    <mergeCell ref="G13:I13"/>
    <mergeCell ref="G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F3D8-7335-B84B-81B3-AA0F8BBB6AB3}">
  <dimension ref="B3:K17"/>
  <sheetViews>
    <sheetView zoomScale="156" workbookViewId="0">
      <selection activeCell="G11" sqref="G11"/>
    </sheetView>
  </sheetViews>
  <sheetFormatPr baseColWidth="10" defaultRowHeight="16" x14ac:dyDescent="0.2"/>
  <cols>
    <col min="7" max="7" width="12.6640625" customWidth="1"/>
    <col min="8" max="8" width="15.83203125" customWidth="1"/>
    <col min="9" max="9" width="22.1640625" bestFit="1" customWidth="1"/>
  </cols>
  <sheetData>
    <row r="3" spans="2:11" x14ac:dyDescent="0.2">
      <c r="B3" t="s">
        <v>35</v>
      </c>
      <c r="D3" t="s">
        <v>36</v>
      </c>
    </row>
    <row r="4" spans="2:11" x14ac:dyDescent="0.2">
      <c r="D4" t="s">
        <v>37</v>
      </c>
    </row>
    <row r="6" spans="2:11" x14ac:dyDescent="0.2">
      <c r="D6" t="s">
        <v>38</v>
      </c>
      <c r="F6" t="s">
        <v>37</v>
      </c>
      <c r="H6" s="1" t="s">
        <v>39</v>
      </c>
      <c r="I6" t="s">
        <v>36</v>
      </c>
    </row>
    <row r="8" spans="2:11" x14ac:dyDescent="0.2">
      <c r="B8" t="s">
        <v>42</v>
      </c>
      <c r="D8" t="s">
        <v>38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</row>
    <row r="10" spans="2:11" x14ac:dyDescent="0.2">
      <c r="C10" t="s">
        <v>40</v>
      </c>
      <c r="D10">
        <v>2024</v>
      </c>
      <c r="F10" s="25">
        <v>1.2E-2</v>
      </c>
      <c r="G10" s="5"/>
      <c r="I10" s="5"/>
      <c r="J10">
        <v>7</v>
      </c>
      <c r="K10" s="5"/>
    </row>
    <row r="11" spans="2:11" x14ac:dyDescent="0.2">
      <c r="D11">
        <v>2025</v>
      </c>
      <c r="F11" s="25">
        <v>1.4E-2</v>
      </c>
      <c r="G11" s="26">
        <f>-(F11-F10)</f>
        <v>-2E-3</v>
      </c>
      <c r="H11" s="6">
        <f>F11/F10</f>
        <v>1.1666666666666667</v>
      </c>
      <c r="I11" s="27">
        <f>G11/F10</f>
        <v>-0.16666666666666666</v>
      </c>
      <c r="J11">
        <v>6</v>
      </c>
      <c r="K11" s="5">
        <f>J10-J11</f>
        <v>1</v>
      </c>
    </row>
    <row r="12" spans="2:11" x14ac:dyDescent="0.2">
      <c r="D12">
        <v>2026</v>
      </c>
      <c r="F12" s="25">
        <v>1.2999999999999999E-2</v>
      </c>
      <c r="G12" s="26">
        <f>-(F12-F11)</f>
        <v>1.0000000000000009E-3</v>
      </c>
      <c r="H12" s="6">
        <f>F12/F11</f>
        <v>0.92857142857142849</v>
      </c>
      <c r="I12" s="27">
        <f>G12/F11</f>
        <v>7.1428571428571494E-2</v>
      </c>
      <c r="J12">
        <v>8</v>
      </c>
      <c r="K12" s="5">
        <f>J11-J12</f>
        <v>-2</v>
      </c>
    </row>
    <row r="14" spans="2:11" x14ac:dyDescent="0.2">
      <c r="C14" t="s">
        <v>41</v>
      </c>
      <c r="D14">
        <v>2026</v>
      </c>
      <c r="E14" t="s">
        <v>6</v>
      </c>
      <c r="F14" s="25">
        <v>1.6500000000000001E-2</v>
      </c>
    </row>
    <row r="15" spans="2:11" x14ac:dyDescent="0.2">
      <c r="E15" t="s">
        <v>7</v>
      </c>
      <c r="F15" s="25">
        <v>1.55E-2</v>
      </c>
      <c r="G15" s="26">
        <f>-(F15-F14)</f>
        <v>1.0000000000000009E-3</v>
      </c>
      <c r="H15" s="6">
        <f>F15/F14</f>
        <v>0.93939393939393934</v>
      </c>
      <c r="I15" s="27">
        <f>G15/F14</f>
        <v>6.0606060606060656E-2</v>
      </c>
      <c r="J15">
        <v>7</v>
      </c>
      <c r="K15" s="5"/>
    </row>
    <row r="16" spans="2:11" x14ac:dyDescent="0.2">
      <c r="E16" t="s">
        <v>8</v>
      </c>
      <c r="F16" s="25">
        <v>1.2E-2</v>
      </c>
      <c r="G16" s="26">
        <f>-(F16-F15)</f>
        <v>3.4999999999999996E-3</v>
      </c>
      <c r="H16" s="6">
        <f t="shared" ref="H16:H17" si="0">F16/F15</f>
        <v>0.77419354838709675</v>
      </c>
      <c r="I16" s="27">
        <f t="shared" ref="I16:I17" si="1">G16/F15</f>
        <v>0.22580645161290319</v>
      </c>
      <c r="J16">
        <v>5</v>
      </c>
      <c r="K16" s="5">
        <f>J15-J16</f>
        <v>2</v>
      </c>
    </row>
    <row r="17" spans="5:11" x14ac:dyDescent="0.2">
      <c r="E17" t="s">
        <v>9</v>
      </c>
      <c r="F17" s="25">
        <v>1.23E-2</v>
      </c>
      <c r="G17" s="26">
        <f>-(F17-F16)</f>
        <v>-2.9999999999999992E-4</v>
      </c>
      <c r="H17" s="6">
        <f t="shared" si="0"/>
        <v>1.0249999999999999</v>
      </c>
      <c r="I17" s="27">
        <f t="shared" si="1"/>
        <v>-2.4999999999999994E-2</v>
      </c>
      <c r="J17">
        <v>6</v>
      </c>
      <c r="K17" s="5">
        <f>J16-J17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Objetivo vs Resultado</vt:lpstr>
      <vt:lpstr>Lectura Cumplimiento</vt:lpstr>
      <vt:lpstr>Variaciones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2026-10-16T14:12:17Z</dcterms:created>
  <dcterms:modified xsi:type="dcterms:W3CDTF">2026-10-16T17:35:56Z</dcterms:modified>
</cp:coreProperties>
</file>