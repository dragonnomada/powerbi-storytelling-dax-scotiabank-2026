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deac6ad94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eb14c96ee5b4b78"/>
    <x:sheet xmlns:r="http://schemas.openxmlformats.org/officeDocument/2006/relationships" name="Drivers" sheetId="2" r:id="R6032a01d6ef044d8"/>
    <x:sheet xmlns:r="http://schemas.openxmlformats.org/officeDocument/2006/relationships" name="Fact_Simulacion" sheetId="3" r:id="R714c43a338334932"/>
    <x:sheet xmlns:r="http://schemas.openxmlformats.org/officeDocument/2006/relationships" name="Supuestos" sheetId="4" r:id="R1ea219869c054b16"/>
    <x:sheet xmlns:r="http://schemas.openxmlformats.org/officeDocument/2006/relationships" name="Fuente" sheetId="5" r:id="R5f16790ef0e04049"/>
    <x:sheet xmlns:r="http://schemas.openxmlformats.org/officeDocument/2006/relationships" name="Modelo_DAX" sheetId="6" r:id="Rd520f902112c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"/>
    <x:numFmt numFmtId="202" formatCode="0.0%"/>
    <x:numFmt numFmtId="203" formatCode="0.00x"/>
    <x:numFmt numFmtId="204" formatCode="$#,##0.00;($#,##0.00);-"/>
    <x:numFmt numFmtId="205" formatCode="#,##0.0"/>
    <x:numFmt numFmtId="206" formatCode="$#,##0;($#,##0);-"/>
  </x:numFmts>
  <x:fonts count="12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  <x:font>
      <x:sz val="10"/>
      <x:color rgb="FF2F75B5"/>
      <x:name val="Arial"/>
    </x:font>
    <x:font>
      <x:sz val="10"/>
      <x:color rgb="FF00843D"/>
      <x:name val="Arial"/>
    </x:font>
    <x:font>
      <x:b/>
      <x:sz val="11"/>
      <x:color rgb="FF17365D"/>
      <x:name val="Arial"/>
    </x:font>
    <x:font>
      <x:b/>
      <x:sz val="11"/>
      <x:color rgb="FF00843D"/>
      <x:name val="Arial"/>
    </x:font>
    <x:font>
      <x:b/>
      <x:sz val="12"/>
      <x:color rgb="FF222222"/>
      <x:name val="Arial"/>
    </x:font>
    <x:font>
      <x:sz val="9"/>
      <x:color rgb="FF222222"/>
      <x:name val="Courier New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</x:fills>
  <x:borders count="20">
    <x:border>
      <x:left/>
      <x:right/>
      <x:top/>
      <x:bottom/>
      <x:diagonal/>
    </x:border>
    <x:border>
      <x:left/>
      <x:right/>
      <x:top/>
      <x:bottom style="thin">
        <x:color rgb="FF2F75B5"/>
      </x:bottom>
      <x:diagonal/>
    </x:border>
    <x:border>
      <x:left/>
      <x:right style="thin">
        <x:color rgb="FFFFFFFF"/>
      </x:right>
      <x:top/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17365D"/>
      </x:bottom>
      <x:diagonal/>
    </x:border>
    <x:border>
      <x:left style="thin">
        <x:color rgb="FFFFFFFF"/>
      </x:left>
      <x:right/>
      <x:top/>
      <x:bottom style="thin">
        <x:color rgb="FF17365D"/>
      </x:bottom>
      <x:diagonal/>
    </x:border>
    <x:border>
      <x:left style="thin">
        <x:color rgb="FFA6A6A6"/>
      </x:left>
      <x:right/>
      <x:top style="thin">
        <x:color rgb="FFA6A6A6"/>
      </x:top>
      <x:bottom/>
      <x:diagonal/>
    </x:border>
    <x:border>
      <x:left/>
      <x:right style="thin">
        <x:color rgb="FFA6A6A6"/>
      </x:right>
      <x:top style="thin">
        <x:color rgb="FFA6A6A6"/>
      </x:top>
      <x:bottom/>
      <x:diagonal/>
    </x:border>
    <x:border>
      <x:left style="thin">
        <x:color rgb="FFA6A6A6"/>
      </x:left>
      <x:right/>
      <x:top/>
      <x:bottom/>
      <x:diagonal/>
    </x:border>
    <x:border>
      <x:left/>
      <x:right style="thin">
        <x:color rgb="FFA6A6A6"/>
      </x:right>
      <x:top/>
      <x:bottom/>
      <x:diagonal/>
    </x:border>
    <x:border>
      <x:left style="thin">
        <x:color rgb="FFA6A6A6"/>
      </x:left>
      <x:right/>
      <x:top/>
      <x:bottom style="thin">
        <x:color rgb="FFA6A6A6"/>
      </x:bottom>
      <x:diagonal/>
    </x:border>
    <x:border>
      <x:left/>
      <x:right style="thin">
        <x:color rgb="FFA6A6A6"/>
      </x:right>
      <x:top/>
      <x:bottom style="thin">
        <x:color rgb="FFA6A6A6"/>
      </x:bottom>
      <x:diagonal/>
    </x:border>
    <x:border>
      <x:left style="thin">
        <x:color rgb="FF9EADBA"/>
      </x:left>
      <x:right/>
      <x:top style="thin">
        <x:color rgb="FF9EADBA"/>
      </x:top>
      <x:bottom style="thin">
        <x:color rgb="FF9EADBA"/>
      </x:bottom>
      <x:diagonal/>
    </x:border>
    <x:border>
      <x:left/>
      <x:right/>
      <x:top style="thin">
        <x:color rgb="FF9EADBA"/>
      </x:top>
      <x:bottom style="thin">
        <x:color rgb="FF9EADBA"/>
      </x:bottom>
      <x:diagonal/>
    </x:border>
    <x:border>
      <x:left/>
      <x:right style="thin">
        <x:color rgb="FF9EADBA"/>
      </x:right>
      <x:top style="thin">
        <x:color rgb="FF9EADBA"/>
      </x:top>
      <x:bottom style="thin">
        <x:color rgb="FF9EADBA"/>
      </x:bottom>
      <x:diagonal/>
    </x:border>
    <x:border>
      <x:left/>
      <x:right/>
      <x:top style="double">
        <x:color rgb="FF17365D"/>
      </x:top>
      <x:bottom/>
      <x:diagonal/>
    </x:border>
    <x:border>
      <x:left/>
      <x:right/>
      <x:top style="thin">
        <x:color rgb="FFA6A6A6"/>
      </x:top>
      <x:bottom/>
      <x:diagonal/>
    </x:border>
    <x:border>
      <x:left/>
      <x:right/>
      <x:top/>
      <x:bottom style="thin">
        <x:color rgb="FFA6A6A6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10" xfId="0" applyNumberFormat="1" applyFont="1" applyFill="1" applyBorder="1"/>
    <x:xf numFmtId="0" fontId="5" fillId="0" borderId="5" xfId="0" applyNumberFormat="1" applyFont="1" applyFill="1" applyBorder="1"/>
    <x:xf numFmtId="0" fontId="5" fillId="0" borderId="7" xfId="0" applyNumberFormat="1" applyFont="1" applyFill="1" applyBorder="1"/>
    <x:xf numFmtId="0" fontId="5" fillId="0" borderId="9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204" fontId="6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/>
    <x:xf numFmtId="204" fontId="5" fillId="0" borderId="14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6" fontId="5" fillId="0" borderId="14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4" borderId="5" xfId="0" applyNumberFormat="1" applyFont="1" applyFill="1" applyBorder="1"/>
    <x:xf numFmtId="0" fontId="0" fillId="4" borderId="15" xfId="0" applyNumberFormat="1" applyFont="1" applyFill="1" applyBorder="1"/>
    <x:xf numFmtId="0" fontId="0" fillId="4" borderId="7" xfId="0" applyNumberFormat="1" applyFont="1" applyFill="1" applyBorder="1"/>
    <x:xf numFmtId="0" fontId="0" fillId="4" borderId="9" xfId="0" applyNumberFormat="1" applyFont="1" applyFill="1" applyBorder="1"/>
    <x:xf numFmtId="0" fontId="0" fillId="4" borderId="16" xfId="0" applyNumberFormat="1" applyFont="1" applyFill="1" applyBorder="1"/>
    <x:xf numFmtId="0" fontId="8" fillId="4" borderId="5" xfId="0" applyNumberFormat="1" applyFont="1" applyFill="1" applyBorder="1"/>
    <x:xf numFmtId="0" fontId="8" fillId="4" borderId="7" xfId="0" applyNumberFormat="1" applyFont="1" applyFill="1" applyBorder="1"/>
    <x:xf numFmtId="0" fontId="8" fillId="4" borderId="9" xfId="0" applyNumberFormat="1" applyFont="1" applyFill="1" applyBorder="1"/>
    <x:xf numFmtId="206" fontId="0" fillId="0" borderId="6" xfId="0" applyNumberFormat="1" applyFont="1" applyFill="1" applyBorder="1"/>
    <x:xf numFmtId="206" fontId="0" fillId="0" borderId="8" xfId="0" applyNumberFormat="1" applyFont="1" applyFill="1" applyBorder="1"/>
    <x:xf numFmtId="202" fontId="0" fillId="0" borderId="10" xfId="0" applyNumberFormat="1" applyFont="1" applyFill="1" applyBorder="1"/>
    <x:xf numFmtId="206" fontId="10" fillId="0" borderId="6" xfId="0" applyNumberFormat="1" applyFont="1" applyFill="1" applyBorder="1"/>
    <x:xf numFmtId="206" fontId="10" fillId="0" borderId="8" xfId="0" applyNumberFormat="1" applyFont="1" applyFill="1" applyBorder="1"/>
    <x:xf numFmtId="202" fontId="10" fillId="0" borderId="10" xfId="0" applyNumberFormat="1" applyFont="1" applyFill="1" applyBorder="1"/>
    <x:xf numFmtId="0" fontId="0" fillId="6" borderId="5" xfId="0" applyNumberFormat="1" applyFont="1" applyFill="1" applyBorder="1"/>
    <x:xf numFmtId="0" fontId="0" fillId="6" borderId="15" xfId="0" applyNumberFormat="1" applyFont="1" applyFill="1" applyBorder="1"/>
    <x:xf numFmtId="0" fontId="0" fillId="6" borderId="7" xfId="0" applyNumberFormat="1" applyFont="1" applyFill="1" applyBorder="1"/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6" xfId="0" applyNumberFormat="1" applyFont="1" applyFill="1" applyBorder="1"/>
    <x:xf numFmtId="0" fontId="8" fillId="6" borderId="5" xfId="0" applyNumberFormat="1" applyFont="1" applyFill="1" applyBorder="1"/>
    <x:xf numFmtId="0" fontId="8" fillId="6" borderId="7" xfId="0" applyNumberFormat="1" applyFont="1" applyFill="1" applyBorder="1"/>
    <x:xf numFmtId="0" fontId="8" fillId="6" borderId="9" xfId="0" applyNumberFormat="1" applyFont="1" applyFill="1" applyBorder="1"/>
    <x:xf numFmtId="202" fontId="0" fillId="0" borderId="8" xfId="0" applyNumberFormat="1" applyFont="1" applyFill="1" applyBorder="1"/>
    <x:xf numFmtId="202" fontId="10" fillId="0" borderId="8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5" fillId="0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5" fillId="0" borderId="17" xfId="0" applyNumberFormat="1" applyFont="1" applyFill="1" applyBorder="1"/>
    <x:xf numFmtId="0" fontId="11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/>
    <x:xf numFmtId="0" fontId="11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/>
    <x:xf numFmtId="0" fontId="11" fillId="0" borderId="19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08556c26d42ad" /><Relationship Type="http://schemas.openxmlformats.org/officeDocument/2006/relationships/theme" Target="/xl/theme/theme1.xml" Id="Rdb9725f7922444f7" /><Relationship Type="http://schemas.openxmlformats.org/officeDocument/2006/relationships/sharedStrings" Target="/xl/sharedStrings.xml" Id="R5c9179403e7244d7" /><Relationship Type="http://schemas.openxmlformats.org/officeDocument/2006/relationships/worksheet" Target="/xl/worksheets/sheet1.xml" Id="R2eb14c96ee5b4b78" /><Relationship Type="http://schemas.openxmlformats.org/officeDocument/2006/relationships/worksheet" Target="/xl/worksheets/sheet2.xml" Id="R6032a01d6ef044d8" /><Relationship Type="http://schemas.openxmlformats.org/officeDocument/2006/relationships/worksheet" Target="/xl/worksheets/sheet3.xml" Id="R714c43a338334932" /><Relationship Type="http://schemas.openxmlformats.org/officeDocument/2006/relationships/worksheet" Target="/xl/worksheets/sheet4.xml" Id="R1ea219869c054b16" /><Relationship Type="http://schemas.openxmlformats.org/officeDocument/2006/relationships/worksheet" Target="/xl/worksheets/sheet5.xml" Id="R5f16790ef0e04049" /><Relationship Type="http://schemas.openxmlformats.org/officeDocument/2006/relationships/worksheet" Target="/xl/worksheets/sheet6.xml" Id="Rd520f902112c4d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8e0af195c444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69ca85a74a84a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Monto actual y simulado por canal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Actual</c:v>
          </c:tx>
          <c:invertIfNegative val="0"/>
          <c:cat>
            <c:strRef>
              <c:f>'Resumen'!$I$8:$I$11</c:f>
              <c:strCache>
                <c:ptCount val="0"/>
              </c:strCache>
            </c:strRef>
          </c:cat>
          <c:val>
            <c:numRef>
              <c:f>'Resumen'!$J$8:$J$11</c:f>
              <c:numCache>
                <c:formatCode>$#,##0;($#,##0);-</c:formatCode>
                <c:ptCount val="0"/>
              </c:numCache>
            </c:numRef>
          </c:val>
        </c:ser>
        <c:ser>
          <c:idx val="1"/>
          <c:order val="1"/>
          <c:tx>
            <c:v>Simulado</c:v>
          </c:tx>
          <c:invertIfNegative val="0"/>
          <c:cat>
            <c:strRef>
              <c:f>'Resumen'!$I$8:$I$11</c:f>
              <c:strCache>
                <c:ptCount val="0"/>
              </c:strCache>
            </c:strRef>
          </c:cat>
          <c:val>
            <c:numRef>
              <c:f>'Resumen'!$K$8:$K$11</c:f>
              <c:numCache>
                <c:formatCode>$#,##0;($#,##0);-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Monto actual y simulado por canal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Monto actual USD</c:v>
          </c:tx>
          <c:invertIfNegative val="0"/>
          <c:cat>
            <c:strRef>
              <c:f>'Drivers'!$A$7:$A$10</c:f>
              <c:strCache>
                <c:ptCount val="0"/>
              </c:strCache>
            </c:strRef>
          </c:cat>
          <c:val>
            <c:numRef>
              <c:f>'Drivers'!$B$7:$B$10</c:f>
              <c:numCache>
                <c:formatCode>$#,##0;($#,##0);-</c:formatCode>
                <c:ptCount val="0"/>
              </c:numCache>
            </c:numRef>
          </c:val>
        </c:ser>
        <c:ser>
          <c:idx val="1"/>
          <c:order val="1"/>
          <c:tx>
            <c:v>Monto simulado USD</c:v>
          </c:tx>
          <c:invertIfNegative val="0"/>
          <c:cat>
            <c:strRef>
              <c:f>'Drivers'!$A$7:$A$10</c:f>
              <c:strCache>
                <c:ptCount val="0"/>
              </c:strCache>
            </c:strRef>
          </c:cat>
          <c:val>
            <c:numRef>
              <c:f>'Drivers'!$C$7:$C$10</c:f>
              <c:numCache>
                <c:formatCode>$#,##0;($#,##0);-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12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8e0af195c4445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9ca85a74a84ac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blFactSimulacion" displayName="tblFactSimulacion" ref="A5:V69" headerRowCount="1" totalsRowCount="0" totalsRowShown="0">
  <x:tableColumns count="22">
    <x:tableColumn id="1" name="Año"/>
    <x:tableColumn id="2" name="Escenario"/>
    <x:tableColumn id="3" name="Tipo de transacción"/>
    <x:tableColumn id="4" name="Canal"/>
    <x:tableColumn id="5" name="Es digital"/>
    <x:tableColumn id="6" name="Mix canal"/>
    <x:tableColumn id="7" name="Tx observadas base"/>
    <x:tableColumn id="8" name="Ticket base USD"/>
    <x:tableColumn id="9" name="Multiplicador canal"/>
    <x:tableColumn id="10" name="Tx actuales"/>
    <x:tableColumn id="11" name="Ticket actual USD"/>
    <x:tableColumn id="12" name="Monto actual USD"/>
    <x:tableColumn id="13" name="Cambio volumen"/>
    <x:tableColumn id="14" name="Cambio ticket"/>
    <x:tableColumn id="15" name="Tx simuladas"/>
    <x:tableColumn id="16" name="Ticket simulado USD"/>
    <x:tableColumn id="17" name="Monto simulado USD"/>
    <x:tableColumn id="18" name="Brecha monto USD"/>
    <x:tableColumn id="19" name="Driver volumen USD"/>
    <x:tableColumn id="20" name="Driver ticket USD"/>
    <x:tableColumn id="21" name="Interacción USD"/>
    <x:tableColumn id="22" name="Check driv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blFuenteTransacciones" displayName="tblFuenteTransacciones" ref="A5:D37" headerRowCount="1" totalsRowCount="0" totalsRowShown="0">
  <x:tableColumns count="4">
    <x:tableColumn id="1" name="tipo_transaccion"/>
    <x:tableColumn id="2" name="digital"/>
    <x:tableColumn id="3" name="Transacciones intentadas"/>
    <x:tableColumn id="4" name="Añ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8bae9db5cd4a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8c50e26bd424e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8fbc856ecc643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fb19c8dc95749b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44" hidden="0" customWidth="1"/>
    <x:col min="5" max="5" width="30" hidden="0" customWidth="1"/>
    <x:col min="6" max="6" width="3" hidden="0" customWidth="1"/>
    <x:col min="7" max="7" width="18" hidden="0" customWidth="1"/>
    <x:col min="8" max="8" width="3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2">
      <x:c r="A2" s="2" t="str">
        <x:v>Simulador de brecha transaccional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Escenario previo a Power BI: monto_usd absoluto y explicación de cambios por canal.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59" t="str">
        <x:v>Escenario seleccionado</x:v>
      </x:c>
      <x:c r="B5" s="59"/>
      <x:c r="C5" s="60" t="str">
        <x:f>Supuestos!B6</x:f>
        <x:v>Base</x:v>
      </x:c>
    </x:row>
    <x:row r="7">
      <x:c r="A7" s="71" t="str">
        <x:v>Monto actual USD</x:v>
      </x:c>
      <x:c r="B7" s="67"/>
      <x:c r="C7" s="77" t="n">
        <x:f>SUM(Fact_Simulacion!L6:L69)</x:f>
        <x:v>22843146.624999996</x:v>
      </x:c>
      <x:c r="E7" s="86" t="str">
        <x:v>Monto digital actual</x:v>
      </x:c>
      <x:c r="F7" s="81"/>
      <x:c r="G7" s="77" t="n">
        <x:f>SUMIFS(Fact_Simulacion!L6:L69,Fact_Simulacion!E6:E69,1)</x:f>
        <x:v>17281826.624999996</x:v>
      </x:c>
      <x:c r="I7" s="9" t="str">
        <x:v>Canal</x:v>
      </x:c>
      <x:c r="J7" s="10" t="str">
        <x:v>Actual</x:v>
      </x:c>
      <x:c r="K7" s="10" t="str">
        <x:v>Simulado</x:v>
      </x:c>
      <x:c r="L7" s="11" t="str">
        <x:v>Brecha</x:v>
      </x:c>
    </x:row>
    <x:row r="8">
      <x:c r="A8" s="72" t="str">
        <x:v>Monto simulado USD</x:v>
      </x:c>
      <x:c r="B8" s="29"/>
      <x:c r="C8" s="78" t="n">
        <x:f>SUM(Fact_Simulacion!Q6:Q69)</x:f>
        <x:v>25250476.28695</x:v>
      </x:c>
      <x:c r="E8" s="87" t="str">
        <x:v>Monto digital simulado</x:v>
      </x:c>
      <x:c r="F8" s="83"/>
      <x:c r="G8" s="78" t="n">
        <x:f>SUMIFS(Fact_Simulacion!Q6:Q69,Fact_Simulacion!E6:E69,1)</x:f>
        <x:v>20082897.74295</x:v>
      </x:c>
      <x:c r="I8" s="13" t="str">
        <x:v>Sucursal</x:v>
      </x:c>
      <x:c r="J8" s="57" t="n">
        <x:f>SUMIFS(Fact_Simulacion!$L$6:$L$69,Fact_Simulacion!$D$6:$D$69,I8)</x:f>
        <x:v>5561320</x:v>
      </x:c>
      <x:c r="K8" s="57" t="n">
        <x:f>SUMIFS(Fact_Simulacion!$Q$6:$Q$69,Fact_Simulacion!$D$6:$D$69,I8)</x:f>
        <x:v>5167578.544000001</x:v>
      </x:c>
      <x:c r="L8" s="57" t="n">
        <x:f>K8-J8</x:f>
        <x:v>-393741.4559999993</x:v>
      </x:c>
    </x:row>
    <x:row r="9">
      <x:c r="A9" s="72" t="str">
        <x:v>Brecha USD</x:v>
      </x:c>
      <x:c r="B9" s="29"/>
      <x:c r="C9" s="78" t="n">
        <x:f>C8-C7</x:f>
        <x:v>2407329.6619500034</x:v>
      </x:c>
      <x:c r="E9" s="87" t="str">
        <x:v>Participación digital actual</x:v>
      </x:c>
      <x:c r="F9" s="83"/>
      <x:c r="G9" s="90" t="n">
        <x:f>G7/C7</x:f>
        <x:v>0.7565431728256921</x:v>
      </x:c>
      <x:c r="I9" s="13" t="str">
        <x:v>App móvil</x:v>
      </x:c>
      <x:c r="J9" s="57" t="n">
        <x:f>SUMIFS(Fact_Simulacion!$L$6:$L$69,Fact_Simulacion!$D$6:$D$69,I9)</x:f>
        <x:v>8981106.75</x:v>
      </x:c>
      <x:c r="K9" s="57" t="n">
        <x:f>SUMIFS(Fact_Simulacion!$Q$6:$Q$69,Fact_Simulacion!$D$6:$D$69,I9)</x:f>
        <x:v>10915637.143950002</x:v>
      </x:c>
      <x:c r="L9" s="57" t="n">
        <x:f>K9-J9</x:f>
        <x:v>1934530.3939500023</x:v>
      </x:c>
    </x:row>
    <x:row r="10">
      <x:c r="A10" s="73" t="str">
        <x:v>Brecha %</x:v>
      </x:c>
      <x:c r="B10" s="70"/>
      <x:c r="C10" s="79" t="n">
        <x:f>IF(C7=0,"n.a.",C9/C7)</x:f>
        <x:v>0.105385203775533</x:v>
      </x:c>
      <x:c r="E10" s="88" t="str">
        <x:v>Participación digital simulada</x:v>
      </x:c>
      <x:c r="F10" s="85"/>
      <x:c r="G10" s="79" t="n">
        <x:f>G8/C8</x:f>
        <x:v>0.7953472843333764</x:v>
      </x:c>
      <x:c r="I10" s="13" t="str">
        <x:v>Banca web</x:v>
      </x:c>
      <x:c r="J10" s="57" t="n">
        <x:f>SUMIFS(Fact_Simulacion!$L$6:$L$69,Fact_Simulacion!$D$6:$D$69,I10)</x:f>
        <x:v>6259559.25</x:v>
      </x:c>
      <x:c r="K10" s="57" t="n">
        <x:f>SUMIFS(Fact_Simulacion!$Q$6:$Q$69,Fact_Simulacion!$D$6:$D$69,I10)</x:f>
        <x:v>7023225.478500001</x:v>
      </x:c>
      <x:c r="L10" s="57" t="n">
        <x:f>K10-J10</x:f>
        <x:v>763666.2285000011</x:v>
      </x:c>
    </x:row>
    <x:row r="11">
      <x:c r="I11" s="13" t="str">
        <x:v>ATM</x:v>
      </x:c>
      <x:c r="J11" s="57" t="n">
        <x:f>SUMIFS(Fact_Simulacion!$L$6:$L$69,Fact_Simulacion!$D$6:$D$69,I11)</x:f>
        <x:v>2041160.625</x:v>
      </x:c>
      <x:c r="K11" s="57" t="n">
        <x:f>SUMIFS(Fact_Simulacion!$Q$6:$Q$69,Fact_Simulacion!$D$6:$D$69,I11)</x:f>
        <x:v>2144035.1205</x:v>
      </x:c>
      <x:c r="L11" s="57" t="n">
        <x:f>K11-J11</x:f>
        <x:v>102874.4955000002</x:v>
      </x:c>
    </x:row>
    <x:row r="13">
      <x:c r="A13" s="31" t="str">
        <x:v>Explicación de la brecha</x:v>
      </x:c>
      <x:c r="B13" s="32"/>
      <x:c r="C13" s="32"/>
      <x:c r="D13" s="33"/>
    </x:row>
    <x:row r="14">
      <x:c r="A14" s="9" t="str">
        <x:v>Driver</x:v>
      </x:c>
      <x:c r="B14" s="10" t="str">
        <x:v>Valor USD</x:v>
      </x:c>
      <x:c r="C14" s="10" t="str">
        <x:v>% de brecha</x:v>
      </x:c>
      <x:c r="D14" s="11" t="str">
        <x:v>Definición</x:v>
      </x:c>
    </x:row>
    <x:row r="15">
      <x:c r="A15" s="13" t="str">
        <x:v>Volumen</x:v>
      </x:c>
      <x:c r="B15" s="57" t="n">
        <x:f>SUM(Fact_Simulacion!S6:S69)</x:f>
        <x:v>1879295.9650000008</x:v>
      </x:c>
      <x:c r="C15" s="34" t="n">
        <x:f>IF($C$9=0,"n.a.",B15/$C$9)</x:f>
        <x:v>0.7806558423235309</x:v>
      </x:c>
      <x:c r="D15" s="91" t="str">
        <x:v>Cambio en transacciones manteniendo el ticket actual.</x:v>
      </x:c>
    </x:row>
    <x:row r="16">
      <x:c r="A16" s="13" t="str">
        <x:v>Ticket promedio</x:v>
      </x:c>
      <x:c r="B16" s="57" t="n">
        <x:f>SUM(Fact_Simulacion!T6:T69)</x:f>
        <x:v>470649.19375000056</x:v>
      </x:c>
      <x:c r="C16" s="34" t="n">
        <x:f>IF($C$9=0,"n.a.",B16/$C$9)</x:f>
        <x:v>0.1955067480740306</x:v>
      </x:c>
      <x:c r="D16" s="91" t="str">
        <x:v>Cambio en ticket manteniendo el volumen actual.</x:v>
      </x:c>
    </x:row>
    <x:row r="17">
      <x:c r="A17" s="13" t="str">
        <x:v>Interacción</x:v>
      </x:c>
      <x:c r="B17" s="57" t="n">
        <x:f>SUM(Fact_Simulacion!U6:U69)</x:f>
        <x:v>57384.5032000001</x:v>
      </x:c>
      <x:c r="C17" s="34" t="n">
        <x:f>IF($C$9=0,"n.a.",B17/$C$9)</x:f>
        <x:v>0.023837409602437694</x:v>
      </x:c>
      <x:c r="D17" s="91" t="str">
        <x:v>Efecto simultáneo entre volumen y ticket.</x:v>
      </x:c>
    </x:row>
    <x:row r="19">
      <x:c r="A19" s="41" t="str">
        <x:v>Reconciliación de drivers</x:v>
      </x:c>
      <x:c r="B19" s="93" t="n">
        <x:f>ROUND(C9-SUM(B15:B17),2)</x:f>
        <x:v>0</x:v>
      </x:c>
    </x:row>
    <x:row r="22">
      <x:c r="A22" s="45" t="str">
        <x:v>Cómo usar el simulador</x:v>
      </x:c>
      <x:c r="B22" s="45"/>
      <x:c r="C22" s="45"/>
      <x:c r="D22" s="45"/>
      <x:c r="E22" s="45"/>
      <x:c r="F22" s="45"/>
      <x:c r="G22" s="45"/>
    </x:row>
    <x:row r="23">
      <x:c r="A23" s="46" t="str">
        <x:v>1. Ajuste el mix, crecimiento y ticket por canal en Supuestos.</x:v>
      </x:c>
      <x:c r="B23" s="46"/>
      <x:c r="C23" s="46"/>
      <x:c r="D23" s="46"/>
      <x:c r="E23" s="46"/>
      <x:c r="F23" s="46"/>
      <x:c r="G23" s="46"/>
    </x:row>
    <x:row r="24">
      <x:c r="A24" s="46" t="str">
        <x:v>2. Ajuste el ticket base por tipo de transacción.</x:v>
      </x:c>
      <x:c r="B24" s="46"/>
      <x:c r="C24" s="46"/>
      <x:c r="D24" s="46"/>
      <x:c r="E24" s="46"/>
      <x:c r="F24" s="46"/>
      <x:c r="G24" s="46"/>
    </x:row>
    <x:row r="25">
      <x:c r="A25" s="46" t="str">
        <x:v>3. Revise la brecha y su reconciliación en Resumen y Drivers.</x:v>
      </x:c>
      <x:c r="B25" s="46"/>
      <x:c r="C25" s="46"/>
      <x:c r="D25" s="46"/>
      <x:c r="E25" s="46"/>
      <x:c r="F25" s="46"/>
      <x:c r="G25" s="46"/>
    </x:row>
    <x:row r="26">
      <x:c r="A26" s="46" t="str">
        <x:v>4. Importe Fact_Simulacion y dimensiones a Power BI; sustituya supuestos por datos reales.</x:v>
      </x:c>
      <x:c r="B26" s="46"/>
      <x:c r="C26" s="46"/>
      <x:c r="D26" s="46"/>
      <x:c r="E26" s="46"/>
      <x:c r="F26" s="46"/>
      <x:c r="G26" s="46"/>
    </x:row>
  </x:sheetData>
  <x:conditionalFormatting sqref="B19:B19">
    <x:cfRule type="cellIs" dxfId="1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b88bae9db5cd4a2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>
      <x:c r="A2" s="2" t="str">
        <x:v>Brecha explicada por drivers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La brecha de monto se atribuye a volumen, ticket promedio e interacción.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5">
      <x:c r="A5" s="31" t="str">
        <x:v>Drivers por canal</x:v>
      </x:c>
      <x:c r="B5" s="32"/>
      <x:c r="C5" s="32"/>
      <x:c r="D5" s="32"/>
      <x:c r="E5" s="32"/>
      <x:c r="F5" s="32"/>
      <x:c r="G5" s="32"/>
      <x:c r="H5" s="33"/>
    </x:row>
    <x:row r="6">
      <x:c r="A6" s="9" t="str">
        <x:v>Canal</x:v>
      </x:c>
      <x:c r="B6" s="10" t="str">
        <x:v>Monto actual USD</x:v>
      </x:c>
      <x:c r="C6" s="10" t="str">
        <x:v>Monto simulado USD</x:v>
      </x:c>
      <x:c r="D6" s="10" t="str">
        <x:v>Brecha USD</x:v>
      </x:c>
      <x:c r="E6" s="10" t="str">
        <x:v>Driver volumen USD</x:v>
      </x:c>
      <x:c r="F6" s="10" t="str">
        <x:v>Driver ticket USD</x:v>
      </x:c>
      <x:c r="G6" s="10" t="str">
        <x:v>Interacción USD</x:v>
      </x:c>
      <x:c r="H6" s="11" t="str">
        <x:v>Check</x:v>
      </x:c>
    </x:row>
    <x:row r="7">
      <x:c r="A7" s="13" t="str">
        <x:v>Sucursal</x:v>
      </x:c>
      <x:c r="B7" s="57" t="n">
        <x:f>SUMIFS(Fact_Simulacion!$L$6:$L$69,Fact_Simulacion!$D$6:$D$69,A7)</x:f>
        <x:v>5561320</x:v>
      </x:c>
      <x:c r="C7" s="57" t="n">
        <x:f>SUMIFS(Fact_Simulacion!$Q$6:$Q$69,Fact_Simulacion!$D$6:$D$69,A7)</x:f>
        <x:v>5167578.544000001</x:v>
      </x:c>
      <x:c r="D7" s="57" t="n">
        <x:f>C7-B7</x:f>
        <x:v>-393741.4559999993</x:v>
      </x:c>
      <x:c r="E7" s="57" t="n">
        <x:f>SUMIFS(Fact_Simulacion!$S$6:$S$69,Fact_Simulacion!$D$6:$D$69,A7)</x:f>
        <x:v>-444905.5999999996</x:v>
      </x:c>
      <x:c r="F7" s="57" t="n">
        <x:f>SUMIFS(Fact_Simulacion!$T$6:$T$69,Fact_Simulacion!$D$6:$D$69,A7)</x:f>
        <x:v>55613.200000000026</x:v>
      </x:c>
      <x:c r="G7" s="57" t="n">
        <x:f>SUMIFS(Fact_Simulacion!$U$6:$U$69,Fact_Simulacion!$D$6:$D$69,A7)</x:f>
        <x:v>-4449.055999999997</x:v>
      </x:c>
      <x:c r="H7" s="57" t="n">
        <x:f>ROUND(D7-SUM(E7:G7),2)</x:f>
        <x:v>0</x:v>
      </x:c>
    </x:row>
    <x:row r="8">
      <x:c r="A8" s="13" t="str">
        <x:v>App móvil</x:v>
      </x:c>
      <x:c r="B8" s="57" t="n">
        <x:f>SUMIFS(Fact_Simulacion!$L$6:$L$69,Fact_Simulacion!$D$6:$D$69,A8)</x:f>
        <x:v>8981106.75</x:v>
      </x:c>
      <x:c r="C8" s="57" t="n">
        <x:f>SUMIFS(Fact_Simulacion!$Q$6:$Q$69,Fact_Simulacion!$D$6:$D$69,A8)</x:f>
        <x:v>10915637.143950002</x:v>
      </x:c>
      <x:c r="D8" s="57" t="n">
        <x:f>C8-B8</x:f>
        <x:v>1934530.3939500023</x:v>
      </x:c>
      <x:c r="E8" s="57" t="n">
        <x:f>SUMIFS(Fact_Simulacion!$S$6:$S$69,Fact_Simulacion!$D$6:$D$69,A8)</x:f>
        <x:v>1616599.2149999994</x:v>
      </x:c>
      <x:c r="F8" s="57" t="n">
        <x:f>SUMIFS(Fact_Simulacion!$T$6:$T$69,Fact_Simulacion!$D$6:$D$69,A8)</x:f>
        <x:v>269433.20250000036</x:v>
      </x:c>
      <x:c r="G8" s="57" t="n">
        <x:f>SUMIFS(Fact_Simulacion!$U$6:$U$69,Fact_Simulacion!$D$6:$D$69,A8)</x:f>
        <x:v>48497.97645000006</x:v>
      </x:c>
      <x:c r="H8" s="57" t="n">
        <x:f>ROUND(D8-SUM(E8:G8),2)</x:f>
        <x:v>0</x:v>
      </x:c>
    </x:row>
    <x:row r="9">
      <x:c r="A9" s="13" t="str">
        <x:v>Banca web</x:v>
      </x:c>
      <x:c r="B9" s="57" t="n">
        <x:f>SUMIFS(Fact_Simulacion!$L$6:$L$69,Fact_Simulacion!$D$6:$D$69,A9)</x:f>
        <x:v>6259559.25</x:v>
      </x:c>
      <x:c r="C9" s="57" t="n">
        <x:f>SUMIFS(Fact_Simulacion!$Q$6:$Q$69,Fact_Simulacion!$D$6:$D$69,A9)</x:f>
        <x:v>7023225.478500001</x:v>
      </x:c>
      <x:c r="D9" s="57" t="n">
        <x:f>C9-B9</x:f>
        <x:v>763666.2285000011</x:v>
      </x:c>
      <x:c r="E9" s="57" t="n">
        <x:f>SUMIFS(Fact_Simulacion!$S$6:$S$69,Fact_Simulacion!$D$6:$D$69,A9)</x:f>
        <x:v>625955.9250000006</x:v>
      </x:c>
      <x:c r="F9" s="57" t="n">
        <x:f>SUMIFS(Fact_Simulacion!$T$6:$T$69,Fact_Simulacion!$D$6:$D$69,A9)</x:f>
        <x:v>125191.18500000026</x:v>
      </x:c>
      <x:c r="G9" s="57" t="n">
        <x:f>SUMIFS(Fact_Simulacion!$U$6:$U$69,Fact_Simulacion!$D$6:$D$69,A9)</x:f>
        <x:v>12519.11850000004</x:v>
      </x:c>
      <x:c r="H9" s="57" t="n">
        <x:f>ROUND(D9-SUM(E9:G9),2)</x:f>
        <x:v>0</x:v>
      </x:c>
    </x:row>
    <x:row r="10">
      <x:c r="A10" s="13" t="str">
        <x:v>ATM</x:v>
      </x:c>
      <x:c r="B10" s="57" t="n">
        <x:f>SUMIFS(Fact_Simulacion!$L$6:$L$69,Fact_Simulacion!$D$6:$D$69,A10)</x:f>
        <x:v>2041160.625</x:v>
      </x:c>
      <x:c r="C10" s="57" t="n">
        <x:f>SUMIFS(Fact_Simulacion!$Q$6:$Q$69,Fact_Simulacion!$D$6:$D$69,A10)</x:f>
        <x:v>2144035.1205</x:v>
      </x:c>
      <x:c r="D10" s="57" t="n">
        <x:f>C10-B10</x:f>
        <x:v>102874.4955000002</x:v>
      </x:c>
      <x:c r="E10" s="57" t="n">
        <x:f>SUMIFS(Fact_Simulacion!$S$6:$S$69,Fact_Simulacion!$D$6:$D$69,A10)</x:f>
        <x:v>81646.42500000012</x:v>
      </x:c>
      <x:c r="F10" s="57" t="n">
        <x:f>SUMIFS(Fact_Simulacion!$T$6:$T$69,Fact_Simulacion!$D$6:$D$69,A10)</x:f>
        <x:v>20411.606249999975</x:v>
      </x:c>
      <x:c r="G10" s="57" t="n">
        <x:f>SUMIFS(Fact_Simulacion!$U$6:$U$69,Fact_Simulacion!$D$6:$D$69,A10)</x:f>
        <x:v>816.4642500000001</x:v>
      </x:c>
      <x:c r="H10" s="57" t="n">
        <x:f>ROUND(D10-SUM(E10:G10),2)</x:f>
        <x:v>0</x:v>
      </x:c>
    </x:row>
    <x:row r="11">
      <x:c r="A11" s="56" t="str">
        <x:v>Total</x:v>
      </x:c>
      <x:c r="B11" s="58" t="n">
        <x:f>SUM(B7:B10)</x:f>
        <x:v>22843146.625</x:v>
      </x:c>
      <x:c r="C11" s="58" t="n">
        <x:f>SUM(C7:C10)</x:f>
        <x:v>25250476.286950007</x:v>
      </x:c>
      <x:c r="D11" s="58" t="n">
        <x:f>SUM(D7:D10)</x:f>
        <x:v>2407329.6619500043</x:v>
      </x:c>
      <x:c r="E11" s="58" t="n">
        <x:f>SUM(E7:E10)</x:f>
        <x:v>1879295.9650000005</x:v>
      </x:c>
      <x:c r="F11" s="58" t="n">
        <x:f>SUM(F7:F10)</x:f>
        <x:v>470649.19375000056</x:v>
      </x:c>
      <x:c r="G11" s="58" t="n">
        <x:f>SUM(G7:G10)</x:f>
        <x:v>57384.5032000001</x:v>
      </x:c>
      <x:c r="H11" s="58" t="n">
        <x:f>SUM(H7:H10)</x:f>
        <x:v>0</x:v>
      </x:c>
    </x:row>
    <x:row r="14">
      <x:c r="A14" s="31" t="str">
        <x:v>Drivers por tipo de transacción</x:v>
      </x:c>
      <x:c r="B14" s="32"/>
      <x:c r="C14" s="32"/>
      <x:c r="D14" s="32"/>
      <x:c r="E14" s="32"/>
      <x:c r="F14" s="32"/>
      <x:c r="G14" s="32"/>
      <x:c r="H14" s="33"/>
    </x:row>
    <x:row r="15">
      <x:c r="A15" s="9" t="str">
        <x:v>Tipo de transacción</x:v>
      </x:c>
      <x:c r="B15" s="10" t="str">
        <x:v>Monto actual USD</x:v>
      </x:c>
      <x:c r="C15" s="10" t="str">
        <x:v>Monto simulado USD</x:v>
      </x:c>
      <x:c r="D15" s="10" t="str">
        <x:v>Brecha USD</x:v>
      </x:c>
      <x:c r="E15" s="10" t="str">
        <x:v>Driver volumen USD</x:v>
      </x:c>
      <x:c r="F15" s="10" t="str">
        <x:v>Driver ticket USD</x:v>
      </x:c>
      <x:c r="G15" s="10" t="str">
        <x:v>Interacción USD</x:v>
      </x:c>
      <x:c r="H15" s="11" t="str">
        <x:v>Check</x:v>
      </x:c>
    </x:row>
    <x:row r="16">
      <x:c r="A16" s="13" t="str">
        <x:v>Aportación</x:v>
      </x:c>
      <x:c r="B16" s="57" t="n">
        <x:f>SUMIFS(Fact_Simulacion!$L$6:$L$69,Fact_Simulacion!$C$6:$C$69,A16)</x:f>
        <x:v>712435.625</x:v>
      </x:c>
      <x:c r="C16" s="57" t="n">
        <x:f>SUMIFS(Fact_Simulacion!$Q$6:$Q$69,Fact_Simulacion!$C$6:$C$69,A16)</x:f>
        <x:v>786048.0177500001</x:v>
      </x:c>
      <x:c r="D16" s="57" t="n">
        <x:f>C16-B16</x:f>
        <x:v>73612.39275000012</x:v>
      </x:c>
      <x:c r="E16" s="57" t="n">
        <x:f>SUMIFS(Fact_Simulacion!$S$6:$S$69,Fact_Simulacion!$C$6:$C$69,A16)</x:f>
        <x:v>57259.92500000001</x:v>
      </x:c>
      <x:c r="F16" s="57" t="n">
        <x:f>SUMIFS(Fact_Simulacion!$T$6:$T$69,Fact_Simulacion!$C$6:$C$69,A16)</x:f>
        <x:v>14590.343750000002</x:v>
      </x:c>
      <x:c r="G16" s="57" t="n">
        <x:f>SUMIFS(Fact_Simulacion!$U$6:$U$69,Fact_Simulacion!$C$6:$C$69,A16)</x:f>
        <x:v>1762.124</x:v>
      </x:c>
      <x:c r="H16" s="57" t="n">
        <x:f>ROUND(D16-SUM(E16:G16),2)</x:f>
        <x:v>0</x:v>
      </x:c>
    </x:row>
    <x:row r="17">
      <x:c r="A17" s="13" t="str">
        <x:v>Avance de efectivo</x:v>
      </x:c>
      <x:c r="B17" s="57" t="n">
        <x:f>SUMIFS(Fact_Simulacion!$L$6:$L$69,Fact_Simulacion!$C$6:$C$69,A17)</x:f>
        <x:v>388074.15</x:v>
      </x:c>
      <x:c r="C17" s="57" t="n">
        <x:f>SUMIFS(Fact_Simulacion!$Q$6:$Q$69,Fact_Simulacion!$C$6:$C$69,A17)</x:f>
        <x:v>429553.46538000007</x:v>
      </x:c>
      <x:c r="D17" s="57" t="n">
        <x:f>C17-B17</x:f>
        <x:v>41479.315380000044</x:v>
      </x:c>
      <x:c r="E17" s="57" t="n">
        <x:f>SUMIFS(Fact_Simulacion!$S$6:$S$69,Fact_Simulacion!$C$6:$C$69,A17)</x:f>
        <x:v>32462.76599999999</x:v>
      </x:c>
      <x:c r="F17" s="57" t="n">
        <x:f>SUMIFS(Fact_Simulacion!$T$6:$T$69,Fact_Simulacion!$C$6:$C$69,A17)</x:f>
        <x:v>8030.722500000025</x:v>
      </x:c>
      <x:c r="G17" s="57" t="n">
        <x:f>SUMIFS(Fact_Simulacion!$U$6:$U$69,Fact_Simulacion!$C$6:$C$69,A17)</x:f>
        <x:v>985.826880000002</x:v>
      </x:c>
      <x:c r="H17" s="57" t="n">
        <x:f>ROUND(D17-SUM(E17:G17),2)</x:f>
        <x:v>0</x:v>
      </x:c>
    </x:row>
    <x:row r="18">
      <x:c r="A18" s="13" t="str">
        <x:v>Cargo de interés</x:v>
      </x:c>
      <x:c r="B18" s="57" t="n">
        <x:f>SUMIFS(Fact_Simulacion!$L$6:$L$69,Fact_Simulacion!$C$6:$C$69,A18)</x:f>
        <x:v>162197</x:v>
      </x:c>
      <x:c r="C18" s="57" t="n">
        <x:f>SUMIFS(Fact_Simulacion!$Q$6:$Q$69,Fact_Simulacion!$C$6:$C$69,A18)</x:f>
        <x:v>179283.8684</x:v>
      </x:c>
      <x:c r="D18" s="57" t="n">
        <x:f>C18-B18</x:f>
        <x:v>17086.868400000007</x:v>
      </x:c>
      <x:c r="E18" s="57" t="n">
        <x:f>SUMIFS(Fact_Simulacion!$S$6:$S$69,Fact_Simulacion!$C$6:$C$69,A18)</x:f>
        <x:v>13338.080000000005</x:v>
      </x:c>
      <x:c r="F18" s="57" t="n">
        <x:f>SUMIFS(Fact_Simulacion!$T$6:$T$69,Fact_Simulacion!$C$6:$C$69,A18)</x:f>
        <x:v>3341.4500000000016</x:v>
      </x:c>
      <x:c r="G18" s="57" t="n">
        <x:f>SUMIFS(Fact_Simulacion!$U$6:$U$69,Fact_Simulacion!$C$6:$C$69,A18)</x:f>
        <x:v>407.33840000000004</x:v>
      </x:c>
      <x:c r="H18" s="57" t="n">
        <x:f>ROUND(D18-SUM(E18:G18),2)</x:f>
        <x:v>0</x:v>
      </x:c>
    </x:row>
    <x:row r="19">
      <x:c r="A19" s="13" t="str">
        <x:v>Compra</x:v>
      </x:c>
      <x:c r="B19" s="57" t="n">
        <x:f>SUMIFS(Fact_Simulacion!$L$6:$L$69,Fact_Simulacion!$C$6:$C$69,A19)</x:f>
        <x:v>523895.8</x:v>
      </x:c>
      <x:c r="C19" s="57" t="n">
        <x:f>SUMIFS(Fact_Simulacion!$Q$6:$Q$69,Fact_Simulacion!$C$6:$C$69,A19)</x:f>
        <x:v>577909.8877600001</x:v>
      </x:c>
      <x:c r="D19" s="57" t="n">
        <x:f>C19-B19</x:f>
        <x:v>54014.08776000008</x:v>
      </x:c>
      <x:c r="E19" s="57" t="n">
        <x:f>SUMIFS(Fact_Simulacion!$S$6:$S$69,Fact_Simulacion!$C$6:$C$69,A19)</x:f>
        <x:v>41998.432000000015</x:v>
      </x:c>
      <x:c r="F19" s="57" t="n">
        <x:f>SUMIFS(Fact_Simulacion!$T$6:$T$69,Fact_Simulacion!$C$6:$C$69,A19)</x:f>
        <x:v>10722.069999999996</x:v>
      </x:c>
      <x:c r="G19" s="57" t="n">
        <x:f>SUMIFS(Fact_Simulacion!$U$6:$U$69,Fact_Simulacion!$C$6:$C$69,A19)</x:f>
        <x:v>1293.5857600000013</x:v>
      </x:c>
      <x:c r="H19" s="57" t="n">
        <x:f>ROUND(D19-SUM(E19:G19),2)</x:f>
        <x:v>0</x:v>
      </x:c>
    </x:row>
    <x:row r="20">
      <x:c r="A20" s="13" t="str">
        <x:v>Depósito</x:v>
      </x:c>
      <x:c r="B20" s="57" t="n">
        <x:f>SUMIFS(Fact_Simulacion!$L$6:$L$69,Fact_Simulacion!$C$6:$C$69,A20)</x:f>
        <x:v>1299342.75</x:v>
      </x:c>
      <x:c r="C20" s="57" t="n">
        <x:f>SUMIFS(Fact_Simulacion!$Q$6:$Q$69,Fact_Simulacion!$C$6:$C$69,A20)</x:f>
        <x:v>1446715.2453</x:v>
      </x:c>
      <x:c r="D20" s="57" t="n">
        <x:f>C20-B20</x:f>
        <x:v>147372.49530000007</x:v>
      </x:c>
      <x:c r="E20" s="57" t="n">
        <x:f>SUMIFS(Fact_Simulacion!$S$6:$S$69,Fact_Simulacion!$C$6:$C$69,A20)</x:f>
        <x:v>116512.70999999999</x:v>
      </x:c>
      <x:c r="F20" s="57" t="n">
        <x:f>SUMIFS(Fact_Simulacion!$T$6:$T$69,Fact_Simulacion!$C$6:$C$69,A20)</x:f>
        <x:v>27399.412500000082</x:v>
      </x:c>
      <x:c r="G20" s="57" t="n">
        <x:f>SUMIFS(Fact_Simulacion!$U$6:$U$69,Fact_Simulacion!$C$6:$C$69,A20)</x:f>
        <x:v>3460.372800000011</x:v>
      </x:c>
      <x:c r="H20" s="57" t="n">
        <x:f>ROUND(D20-SUM(E20:G20),2)</x:f>
        <x:v>0</x:v>
      </x:c>
    </x:row>
    <x:row r="21">
      <x:c r="A21" s="13" t="str">
        <x:v>Desembolso</x:v>
      </x:c>
      <x:c r="B21" s="57" t="n">
        <x:f>SUMIFS(Fact_Simulacion!$L$6:$L$69,Fact_Simulacion!$C$6:$C$69,A21)</x:f>
        <x:v>5375130</x:v>
      </x:c>
      <x:c r="C21" s="57" t="n">
        <x:f>SUMIFS(Fact_Simulacion!$Q$6:$Q$69,Fact_Simulacion!$C$6:$C$69,A21)</x:f>
        <x:v>5928876.636000001</x:v>
      </x:c>
      <x:c r="D21" s="57" t="n">
        <x:f>C21-B21</x:f>
        <x:v>553746.6360000009</x:v>
      </x:c>
      <x:c r="E21" s="57" t="n">
        <x:f>SUMIFS(Fact_Simulacion!$S$6:$S$69,Fact_Simulacion!$C$6:$C$69,A21)</x:f>
        <x:v>430501.2000000005</x:v>
      </x:c>
      <x:c r="F21" s="57" t="n">
        <x:f>SUMIFS(Fact_Simulacion!$T$6:$T$69,Fact_Simulacion!$C$6:$C$69,A21)</x:f>
        <x:v>109981.50000000033</x:v>
      </x:c>
      <x:c r="G21" s="57" t="n">
        <x:f>SUMIFS(Fact_Simulacion!$U$6:$U$69,Fact_Simulacion!$C$6:$C$69,A21)</x:f>
        <x:v>13263.936000000054</x:v>
      </x:c>
      <x:c r="H21" s="57" t="n">
        <x:f>ROUND(D21-SUM(E21:G21),2)</x:f>
        <x:v>0</x:v>
      </x:c>
    </x:row>
    <x:row r="22">
      <x:c r="A22" s="13" t="str">
        <x:v>Indemnización</x:v>
      </x:c>
      <x:c r="B22" s="57" t="n">
        <x:f>SUMIFS(Fact_Simulacion!$L$6:$L$69,Fact_Simulacion!$C$6:$C$69,A22)</x:f>
        <x:v>3550537.5</x:v>
      </x:c>
      <x:c r="C22" s="57" t="n">
        <x:f>SUMIFS(Fact_Simulacion!$Q$6:$Q$69,Fact_Simulacion!$C$6:$C$69,A22)</x:f>
        <x:v>3901400.745</x:v>
      </x:c>
      <x:c r="D22" s="57" t="n">
        <x:f>C22-B22</x:f>
        <x:v>350863.2450000001</x:v>
      </x:c>
      <x:c r="E22" s="57" t="n">
        <x:f>SUMIFS(Fact_Simulacion!$S$6:$S$69,Fact_Simulacion!$C$6:$C$69,A22)</x:f>
        <x:v>270631.5000000001</x:v>
      </x:c>
      <x:c r="F22" s="57" t="n">
        <x:f>SUMIFS(Fact_Simulacion!$T$6:$T$69,Fact_Simulacion!$C$6:$C$69,A22)</x:f>
        <x:v>71750.625</x:v>
      </x:c>
      <x:c r="G22" s="57" t="n">
        <x:f>SUMIFS(Fact_Simulacion!$U$6:$U$69,Fact_Simulacion!$C$6:$C$69,A22)</x:f>
        <x:v>8481.12</x:v>
      </x:c>
      <x:c r="H22" s="57" t="n">
        <x:f>ROUND(D22-SUM(E22:G22),2)</x:f>
        <x:v>0</x:v>
      </x:c>
    </x:row>
    <x:row r="23">
      <x:c r="A23" s="13" t="str">
        <x:v>Pago de crédito</x:v>
      </x:c>
      <x:c r="B23" s="57" t="n">
        <x:f>SUMIFS(Fact_Simulacion!$L$6:$L$69,Fact_Simulacion!$C$6:$C$69,A23)</x:f>
        <x:v>1935379.9500000002</x:v>
      </x:c>
      <x:c r="C23" s="57" t="n">
        <x:f>SUMIFS(Fact_Simulacion!$Q$6:$Q$69,Fact_Simulacion!$C$6:$C$69,A23)</x:f>
        <x:v>2133653.72514</x:v>
      </x:c>
      <x:c r="D23" s="57" t="n">
        <x:f>C23-B23</x:f>
        <x:v>198273.77514000004</x:v>
      </x:c>
      <x:c r="E23" s="57" t="n">
        <x:f>SUMIFS(Fact_Simulacion!$S$6:$S$69,Fact_Simulacion!$C$6:$C$69,A23)</x:f>
        <x:v>153985.39800000004</x:v>
      </x:c>
      <x:c r="F23" s="57" t="n">
        <x:f>SUMIFS(Fact_Simulacion!$T$6:$T$69,Fact_Simulacion!$C$6:$C$69,A23)</x:f>
        <x:v>39533.39250000007</x:v>
      </x:c>
      <x:c r="G23" s="57" t="n">
        <x:f>SUMIFS(Fact_Simulacion!$U$6:$U$69,Fact_Simulacion!$C$6:$C$69,A23)</x:f>
        <x:v>4754.984640000015</x:v>
      </x:c>
      <x:c r="H23" s="57" t="n">
        <x:f>ROUND(D23-SUM(E23:G23),2)</x:f>
        <x:v>0</x:v>
      </x:c>
    </x:row>
    <x:row r="24">
      <x:c r="A24" s="13" t="str">
        <x:v>Pago de prima</x:v>
      </x:c>
      <x:c r="B24" s="57" t="n">
        <x:f>SUMIFS(Fact_Simulacion!$L$6:$L$69,Fact_Simulacion!$C$6:$C$69,A24)</x:f>
        <x:v>393247.2</x:v>
      </x:c>
      <x:c r="C24" s="57" t="n">
        <x:f>SUMIFS(Fact_Simulacion!$Q$6:$Q$69,Fact_Simulacion!$C$6:$C$69,A24)</x:f>
        <x:v>432057.77184000006</x:v>
      </x:c>
      <x:c r="D24" s="57" t="n">
        <x:f>C24-B24</x:f>
        <x:v>38810.57184000005</x:v>
      </x:c>
      <x:c r="E24" s="57" t="n">
        <x:f>SUMIFS(Fact_Simulacion!$S$6:$S$69,Fact_Simulacion!$C$6:$C$69,A24)</x:f>
        <x:v>29928.288000000015</x:v>
      </x:c>
      <x:c r="F24" s="57" t="n">
        <x:f>SUMIFS(Fact_Simulacion!$T$6:$T$69,Fact_Simulacion!$C$6:$C$69,A24)</x:f>
        <x:v>7943.879999999994</x:v>
      </x:c>
      <x:c r="G24" s="57" t="n">
        <x:f>SUMIFS(Fact_Simulacion!$U$6:$U$69,Fact_Simulacion!$C$6:$C$69,A24)</x:f>
        <x:v>938.4038399999997</x:v>
      </x:c>
      <x:c r="H24" s="57" t="n">
        <x:f>ROUND(D24-SUM(E24:G24),2)</x:f>
        <x:v>0</x:v>
      </x:c>
    </x:row>
    <x:row r="25">
      <x:c r="A25" s="13" t="str">
        <x:v>Pago de servicio</x:v>
      </x:c>
      <x:c r="B25" s="57" t="n">
        <x:f>SUMIFS(Fact_Simulacion!$L$6:$L$69,Fact_Simulacion!$C$6:$C$69,A25)</x:f>
        <x:v>327214.3125</x:v>
      </x:c>
      <x:c r="C25" s="57" t="n">
        <x:f>SUMIFS(Fact_Simulacion!$Q$6:$Q$69,Fact_Simulacion!$C$6:$C$69,A25)</x:f>
        <x:v>363988.848675</x:v>
      </x:c>
      <x:c r="D25" s="57" t="n">
        <x:f>C25-B25</x:f>
        <x:v>36774.536175000016</x:v>
      </x:c>
      <x:c r="E25" s="57" t="n">
        <x:f>SUMIFS(Fact_Simulacion!$S$6:$S$69,Fact_Simulacion!$C$6:$C$69,A25)</x:f>
        <x:v>29029.822500000024</x:v>
      </x:c>
      <x:c r="F25" s="57" t="n">
        <x:f>SUMIFS(Fact_Simulacion!$T$6:$T$69,Fact_Simulacion!$C$6:$C$69,A25)</x:f>
        <x:v>6879.64687500002</x:v>
      </x:c>
      <x:c r="G25" s="57" t="n">
        <x:f>SUMIFS(Fact_Simulacion!$U$6:$U$69,Fact_Simulacion!$C$6:$C$69,A25)</x:f>
        <x:v>865.0668000000034</x:v>
      </x:c>
      <x:c r="H25" s="57" t="n">
        <x:f>ROUND(D25-SUM(E25:G25),2)</x:f>
        <x:v>0</x:v>
      </x:c>
    </x:row>
    <x:row r="26">
      <x:c r="A26" s="13" t="str">
        <x:v>Pago de tarjeta</x:v>
      </x:c>
      <x:c r="B26" s="57" t="n">
        <x:f>SUMIFS(Fact_Simulacion!$L$6:$L$69,Fact_Simulacion!$C$6:$C$69,A26)</x:f>
        <x:v>687667.2000000001</x:v>
      </x:c>
      <x:c r="C26" s="57" t="n">
        <x:f>SUMIFS(Fact_Simulacion!$Q$6:$Q$69,Fact_Simulacion!$C$6:$C$69,A26)</x:f>
        <x:v>757095.07584</x:v>
      </x:c>
      <x:c r="D26" s="57" t="n">
        <x:f>C26-B26</x:f>
        <x:v>69427.87583999988</x:v>
      </x:c>
      <x:c r="E26" s="57" t="n">
        <x:f>SUMIFS(Fact_Simulacion!$S$6:$S$69,Fact_Simulacion!$C$6:$C$69,A26)</x:f>
        <x:v>53772.28799999997</x:v>
      </x:c>
      <x:c r="F26" s="57" t="n">
        <x:f>SUMIFS(Fact_Simulacion!$T$6:$T$69,Fact_Simulacion!$C$6:$C$69,A26)</x:f>
        <x:v>13985.279999999988</x:v>
      </x:c>
      <x:c r="G26" s="57" t="n">
        <x:f>SUMIFS(Fact_Simulacion!$U$6:$U$69,Fact_Simulacion!$C$6:$C$69,A26)</x:f>
        <x:v>1670.3078399999981</x:v>
      </x:c>
      <x:c r="H26" s="57" t="n">
        <x:f>ROUND(D26-SUM(E26:G26),2)</x:f>
        <x:v>0</x:v>
      </x:c>
    </x:row>
    <x:row r="27">
      <x:c r="A27" s="13" t="str">
        <x:v>Rendimiento</x:v>
      </x:c>
      <x:c r="B27" s="57" t="n">
        <x:f>SUMIFS(Fact_Simulacion!$L$6:$L$69,Fact_Simulacion!$C$6:$C$69,A27)</x:f>
        <x:v>127119.4875</x:v>
      </x:c>
      <x:c r="C27" s="57" t="n">
        <x:f>SUMIFS(Fact_Simulacion!$Q$6:$Q$69,Fact_Simulacion!$C$6:$C$69,A27)</x:f>
        <x:v>139790.13268500002</x:v>
      </x:c>
      <x:c r="D27" s="57" t="n">
        <x:f>C27-B27</x:f>
        <x:v>12670.645185000016</x:v>
      </x:c>
      <x:c r="E27" s="57" t="n">
        <x:f>SUMIFS(Fact_Simulacion!$S$6:$S$69,Fact_Simulacion!$C$6:$C$69,A27)</x:f>
        <x:v>9789.529500000002</x:v>
      </x:c>
      <x:c r="F27" s="57" t="n">
        <x:f>SUMIFS(Fact_Simulacion!$T$6:$T$69,Fact_Simulacion!$C$6:$C$69,A27)</x:f>
        <x:v>2575.4231250000084</x:v>
      </x:c>
      <x:c r="G27" s="57" t="n">
        <x:f>SUMIFS(Fact_Simulacion!$U$6:$U$69,Fact_Simulacion!$C$6:$C$69,A27)</x:f>
        <x:v>305.69256000000075</x:v>
      </x:c>
      <x:c r="H27" s="57" t="n">
        <x:f>ROUND(D27-SUM(E27:G27),2)</x:f>
        <x:v>0</x:v>
      </x:c>
    </x:row>
    <x:row r="28">
      <x:c r="A28" s="13" t="str">
        <x:v>Retiro</x:v>
      </x:c>
      <x:c r="B28" s="57" t="n">
        <x:f>SUMIFS(Fact_Simulacion!$L$6:$L$69,Fact_Simulacion!$C$6:$C$69,A28)</x:f>
        <x:v>603053.5</x:v>
      </x:c>
      <x:c r="C28" s="57" t="n">
        <x:f>SUMIFS(Fact_Simulacion!$Q$6:$Q$69,Fact_Simulacion!$C$6:$C$69,A28)</x:f>
        <x:v>672465.1402</x:v>
      </x:c>
      <x:c r="D28" s="57" t="n">
        <x:f>C28-B28</x:f>
        <x:v>69411.64020000002</x:v>
      </x:c>
      <x:c r="E28" s="57" t="n">
        <x:f>SUMIFS(Fact_Simulacion!$S$6:$S$69,Fact_Simulacion!$C$6:$C$69,A28)</x:f>
        <x:v>55008.94000000004</x:v>
      </x:c>
      <x:c r="F28" s="57" t="n">
        <x:f>SUMIFS(Fact_Simulacion!$T$6:$T$69,Fact_Simulacion!$C$6:$C$69,A28)</x:f>
        <x:v>12777.625000000005</x:v>
      </x:c>
      <x:c r="G28" s="57" t="n">
        <x:f>SUMIFS(Fact_Simulacion!$U$6:$U$69,Fact_Simulacion!$C$6:$C$69,A28)</x:f>
        <x:v>1625.0752000000007</x:v>
      </x:c>
      <x:c r="H28" s="57" t="n">
        <x:f>ROUND(D28-SUM(E28:G28),2)</x:f>
        <x:v>0</x:v>
      </x:c>
    </x:row>
    <x:row r="29">
      <x:c r="A29" s="13" t="str">
        <x:v>Retiro de inversión</x:v>
      </x:c>
      <x:c r="B29" s="57" t="n">
        <x:f>SUMIFS(Fact_Simulacion!$L$6:$L$69,Fact_Simulacion!$C$6:$C$69,A29)</x:f>
        <x:v>2282764</x:v>
      </x:c>
      <x:c r="C29" s="57" t="n">
        <x:f>SUMIFS(Fact_Simulacion!$Q$6:$Q$69,Fact_Simulacion!$C$6:$C$69,A29)</x:f>
        <x:v>2515451.5408</x:v>
      </x:c>
      <x:c r="D29" s="57" t="n">
        <x:f>C29-B29</x:f>
        <x:v>232687.54080000008</x:v>
      </x:c>
      <x:c r="E29" s="57" t="n">
        <x:f>SUMIFS(Fact_Simulacion!$S$6:$S$69,Fact_Simulacion!$C$6:$C$69,A29)</x:f>
        <x:v>180542.56</x:v>
      </x:c>
      <x:c r="F29" s="57" t="n">
        <x:f>SUMIFS(Fact_Simulacion!$T$6:$T$69,Fact_Simulacion!$C$6:$C$69,A29)</x:f>
        <x:v>46558.60000000002</x:v>
      </x:c>
      <x:c r="G29" s="57" t="n">
        <x:f>SUMIFS(Fact_Simulacion!$U$6:$U$69,Fact_Simulacion!$C$6:$C$69,A29)</x:f>
        <x:v>5586.380800000002</x:v>
      </x:c>
      <x:c r="H29" s="57" t="n">
        <x:f>ROUND(D29-SUM(E29:G29),2)</x:f>
        <x:v>0</x:v>
      </x:c>
    </x:row>
    <x:row r="30">
      <x:c r="A30" s="13" t="str">
        <x:v>Transferencia enviada</x:v>
      </x:c>
      <x:c r="B30" s="57" t="n">
        <x:f>SUMIFS(Fact_Simulacion!$L$6:$L$69,Fact_Simulacion!$C$6:$C$69,A30)</x:f>
        <x:v>2189931.25</x:v>
      </x:c>
      <x:c r="C30" s="57" t="n">
        <x:f>SUMIFS(Fact_Simulacion!$Q$6:$Q$69,Fact_Simulacion!$C$6:$C$69,A30)</x:f>
        <x:v>2439151.0675000004</x:v>
      </x:c>
      <x:c r="D30" s="57" t="n">
        <x:f>C30-B30</x:f>
        <x:v>249219.81750000035</x:v>
      </x:c>
      <x:c r="E30" s="57" t="n">
        <x:f>SUMIFS(Fact_Simulacion!$S$6:$S$69,Fact_Simulacion!$C$6:$C$69,A30)</x:f>
        <x:v>197142.25</x:v>
      </x:c>
      <x:c r="F30" s="57" t="n">
        <x:f>SUMIFS(Fact_Simulacion!$T$6:$T$69,Fact_Simulacion!$C$6:$C$69,A30)</x:f>
        <x:v>46229.6875</x:v>
      </x:c>
      <x:c r="G30" s="57" t="n">
        <x:f>SUMIFS(Fact_Simulacion!$U$6:$U$69,Fact_Simulacion!$C$6:$C$69,A30)</x:f>
        <x:v>5847.879999999998</x:v>
      </x:c>
      <x:c r="H30" s="57" t="n">
        <x:f>ROUND(D30-SUM(E30:G30),2)</x:f>
        <x:v>0</x:v>
      </x:c>
    </x:row>
    <x:row r="31">
      <x:c r="A31" s="13" t="str">
        <x:v>Transferencia recibida</x:v>
      </x:c>
      <x:c r="B31" s="57" t="n">
        <x:f>SUMIFS(Fact_Simulacion!$L$6:$L$69,Fact_Simulacion!$C$6:$C$69,A31)</x:f>
        <x:v>2285156.9</x:v>
      </x:c>
      <x:c r="C31" s="57" t="n">
        <x:f>SUMIFS(Fact_Simulacion!$Q$6:$Q$69,Fact_Simulacion!$C$6:$C$69,A31)</x:f>
        <x:v>2547035.1186800003</x:v>
      </x:c>
      <x:c r="D31" s="57" t="n">
        <x:f>C31-B31</x:f>
        <x:v>261878.2186800004</x:v>
      </x:c>
      <x:c r="E31" s="57" t="n">
        <x:f>SUMIFS(Fact_Simulacion!$S$6:$S$69,Fact_Simulacion!$C$6:$C$69,A31)</x:f>
        <x:v>207392.27600000007</x:v>
      </x:c>
      <x:c r="F31" s="57" t="n">
        <x:f>SUMIFS(Fact_Simulacion!$T$6:$T$69,Fact_Simulacion!$C$6:$C$69,A31)</x:f>
        <x:v>48349.53500000011</x:v>
      </x:c>
      <x:c r="G31" s="57" t="n">
        <x:f>SUMIFS(Fact_Simulacion!$U$6:$U$69,Fact_Simulacion!$C$6:$C$69,A31)</x:f>
        <x:v>6136.407680000008</x:v>
      </x:c>
      <x:c r="H31" s="57" t="n">
        <x:f>ROUND(D31-SUM(E31:G31),2)</x:f>
        <x:v>0</x:v>
      </x:c>
    </x:row>
  </x:sheetData>
  <x:conditionalFormatting sqref="H7:H32">
    <x:cfRule type="cellIs" dxfId="2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38c50e26bd424e55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25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2">
      <x:c r="A2" s="2" t="str">
        <x:v>Hechos simulados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3" t="str">
        <x:v>Granularidad: año, tipo de transacción y canal. Tabla preparada para importar a Power BI.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</x:row>
    <x:row r="5">
      <x:c r="A5" s="9" t="str">
        <x:v>Año</x:v>
      </x:c>
      <x:c r="B5" s="10" t="str">
        <x:v>Escenario</x:v>
      </x:c>
      <x:c r="C5" s="10" t="str">
        <x:v>Tipo de transacción</x:v>
      </x:c>
      <x:c r="D5" s="10" t="str">
        <x:v>Canal</x:v>
      </x:c>
      <x:c r="E5" s="10" t="str">
        <x:v>Es digital</x:v>
      </x:c>
      <x:c r="F5" s="10" t="str">
        <x:v>Mix canal</x:v>
      </x:c>
      <x:c r="G5" s="10" t="str">
        <x:v>Tx observadas base</x:v>
      </x:c>
      <x:c r="H5" s="10" t="str">
        <x:v>Ticket base USD</x:v>
      </x:c>
      <x:c r="I5" s="10" t="str">
        <x:v>Multiplicador canal</x:v>
      </x:c>
      <x:c r="J5" s="10" t="str">
        <x:v>Tx actuales</x:v>
      </x:c>
      <x:c r="K5" s="10" t="str">
        <x:v>Ticket actual USD</x:v>
      </x:c>
      <x:c r="L5" s="10" t="str">
        <x:v>Monto actual USD</x:v>
      </x:c>
      <x:c r="M5" s="10" t="str">
        <x:v>Cambio volumen</x:v>
      </x:c>
      <x:c r="N5" s="10" t="str">
        <x:v>Cambio ticket</x:v>
      </x:c>
      <x:c r="O5" s="10" t="str">
        <x:v>Tx simuladas</x:v>
      </x:c>
      <x:c r="P5" s="10" t="str">
        <x:v>Ticket simulado USD</x:v>
      </x:c>
      <x:c r="Q5" s="10" t="str">
        <x:v>Monto simulado USD</x:v>
      </x:c>
      <x:c r="R5" s="10" t="str">
        <x:v>Brecha monto USD</x:v>
      </x:c>
      <x:c r="S5" s="10" t="str">
        <x:v>Driver volumen USD</x:v>
      </x:c>
      <x:c r="T5" s="10" t="str">
        <x:v>Driver ticket USD</x:v>
      </x:c>
      <x:c r="U5" s="10" t="str">
        <x:v>Interacción USD</x:v>
      </x:c>
      <x:c r="V5" s="11" t="str">
        <x:v>Check drivers</x:v>
      </x:c>
    </x:row>
    <x:row r="6">
      <x:c r="A6" s="13" t="n">
        <x:v>2025</x:v>
      </x:c>
      <x:c r="B6" s="13" t="str">
        <x:v>Base</x:v>
      </x:c>
      <x:c r="C6" s="13" t="str">
        <x:v>Aportación</x:v>
      </x:c>
      <x:c r="D6" s="13" t="str">
        <x:v>Sucursal</x:v>
      </x:c>
      <x:c r="E6" s="13" t="n">
        <x:v>0</x:v>
      </x:c>
      <x:c r="F6" s="49" t="n">
        <x:f>VLOOKUP(D6,Supuestos!$A$12:$F$15,3,FALSE)</x:f>
        <x:v>0</x:v>
      </x:c>
      <x:c r="G6" s="50" t="n">
        <x:f>SUMIFS(Fuente!$C$6:$C$37,Fuente!$A$6:$A$37,C6,Fuente!$B$6:$B$37,E6)</x:f>
        <x:v>719</x:v>
      </x:c>
      <x:c r="H6" s="51" t="n">
        <x:f>VLOOKUP(C6,Supuestos!$A$22:$B$37,2,FALSE)</x:f>
        <x:v>250</x:v>
      </x:c>
      <x:c r="I6" s="51" t="n">
        <x:f>VLOOKUP(D6,Supuestos!$A$12:$F$15,5,FALSE)</x:f>
        <x:v>1</x:v>
      </x:c>
      <x:c r="J6" s="52" t="n">
        <x:f>G6*IF(E6=1,F6,1)</x:f>
        <x:v>719</x:v>
      </x:c>
      <x:c r="K6" s="51" t="n">
        <x:f>H6*I6</x:f>
        <x:v>250</x:v>
      </x:c>
      <x:c r="L6" s="51" t="n">
        <x:f>ABS(J6*K6)</x:f>
        <x:v>179750</x:v>
      </x:c>
      <x:c r="M6" s="49" t="n">
        <x:f>VLOOKUP(D6,Supuestos!$A$12:$F$15,4,FALSE)</x:f>
        <x:v>-0.08</x:v>
      </x:c>
      <x:c r="N6" s="49" t="n">
        <x:f>VLOOKUP(D6,Supuestos!$A$12:$F$15,6,FALSE)</x:f>
        <x:v>0.01</x:v>
      </x:c>
      <x:c r="O6" s="52" t="n">
        <x:f>J6*(1+M6)</x:f>
        <x:v>661.48</x:v>
      </x:c>
      <x:c r="P6" s="51" t="n">
        <x:f>K6*(1+N6)</x:f>
        <x:v>252.5</x:v>
      </x:c>
      <x:c r="Q6" s="51" t="n">
        <x:f>ABS(O6*P6)</x:f>
        <x:v>167023.7</x:v>
      </x:c>
      <x:c r="R6" s="51" t="n">
        <x:f>Q6-L6</x:f>
        <x:v>-12726.299999999988</x:v>
      </x:c>
      <x:c r="S6" s="51" t="n">
        <x:f>(O6-J6)*K6</x:f>
        <x:v>-14379.999999999996</x:v>
      </x:c>
      <x:c r="T6" s="51" t="n">
        <x:f>J6*(P6-K6)</x:f>
        <x:v>1797.5</x:v>
      </x:c>
      <x:c r="U6" s="51" t="n">
        <x:f>(O6-J6)*(P6-K6)</x:f>
        <x:v>-143.79999999999995</x:v>
      </x:c>
      <x:c r="V6" s="51" t="n">
        <x:f>ROUND(R6-SUM(S6:U6),2)</x:f>
        <x:v>0</x:v>
      </x:c>
    </x:row>
    <x:row r="7">
      <x:c r="A7" s="13" t="n">
        <x:v>2025</x:v>
      </x:c>
      <x:c r="B7" s="13" t="str">
        <x:v>Base</x:v>
      </x:c>
      <x:c r="C7" s="13" t="str">
        <x:v>Aportación</x:v>
      </x:c>
      <x:c r="D7" s="13" t="str">
        <x:v>App móvil</x:v>
      </x:c>
      <x:c r="E7" s="13" t="n">
        <x:v>1</x:v>
      </x:c>
      <x:c r="F7" s="49" t="n">
        <x:f>VLOOKUP(D7,Supuestos!$A$12:$F$15,3,FALSE)</x:f>
        <x:v>0.55</x:v>
      </x:c>
      <x:c r="G7" s="50" t="n">
        <x:f>SUMIFS(Fuente!$C$6:$C$37,Fuente!$A$6:$A$37,C7,Fuente!$B$6:$B$37,E7)</x:f>
        <x:v>2237</x:v>
      </x:c>
      <x:c r="H7" s="51" t="n">
        <x:f>VLOOKUP(C7,Supuestos!$A$22:$B$37,2,FALSE)</x:f>
        <x:v>250</x:v>
      </x:c>
      <x:c r="I7" s="51" t="n">
        <x:f>VLOOKUP(D7,Supuestos!$A$12:$F$15,5,FALSE)</x:f>
        <x:v>0.9</x:v>
      </x:c>
      <x:c r="J7" s="52" t="n">
        <x:f>G7*IF(E7=1,F7,1)</x:f>
        <x:v>1230.3500000000001</x:v>
      </x:c>
      <x:c r="K7" s="51" t="n">
        <x:f>H7*I7</x:f>
        <x:v>225</x:v>
      </x:c>
      <x:c r="L7" s="51" t="n">
        <x:f>ABS(J7*K7)</x:f>
        <x:v>276828.75000000006</x:v>
      </x:c>
      <x:c r="M7" s="49" t="n">
        <x:f>VLOOKUP(D7,Supuestos!$A$12:$F$15,4,FALSE)</x:f>
        <x:v>0.18</x:v>
      </x:c>
      <x:c r="N7" s="49" t="n">
        <x:f>VLOOKUP(D7,Supuestos!$A$12:$F$15,6,FALSE)</x:f>
        <x:v>0.03</x:v>
      </x:c>
      <x:c r="O7" s="52" t="n">
        <x:f>J7*(1+M7)</x:f>
        <x:v>1451.813</x:v>
      </x:c>
      <x:c r="P7" s="51" t="n">
        <x:f>K7*(1+N7)</x:f>
        <x:v>231.75</x:v>
      </x:c>
      <x:c r="Q7" s="51" t="n">
        <x:f>ABS(O7*P7)</x:f>
        <x:v>336457.66275</x:v>
      </x:c>
      <x:c r="R7" s="51" t="n">
        <x:f>Q7-L7</x:f>
        <x:v>59628.91274999996</x:v>
      </x:c>
      <x:c r="S7" s="51" t="n">
        <x:f>(O7-J7)*K7</x:f>
        <x:v>49829.174999999996</x:v>
      </x:c>
      <x:c r="T7" s="51" t="n">
        <x:f>J7*(P7-K7)</x:f>
        <x:v>8304.862500000001</x:v>
      </x:c>
      <x:c r="U7" s="51" t="n">
        <x:f>(O7-J7)*(P7-K7)</x:f>
        <x:v>1494.8752499999998</x:v>
      </x:c>
      <x:c r="V7" s="51" t="n">
        <x:f>ROUND(R7-SUM(S7:U7),2)</x:f>
        <x:v>0</x:v>
      </x:c>
    </x:row>
    <x:row r="8">
      <x:c r="A8" s="13" t="n">
        <x:v>2025</x:v>
      </x:c>
      <x:c r="B8" s="13" t="str">
        <x:v>Base</x:v>
      </x:c>
      <x:c r="C8" s="13" t="str">
        <x:v>Aportación</x:v>
      </x:c>
      <x:c r="D8" s="13" t="str">
        <x:v>Banca web</x:v>
      </x:c>
      <x:c r="E8" s="13" t="n">
        <x:v>1</x:v>
      </x:c>
      <x:c r="F8" s="49" t="n">
        <x:f>VLOOKUP(D8,Supuestos!$A$12:$F$15,3,FALSE)</x:f>
        <x:v>0.3</x:v>
      </x:c>
      <x:c r="G8" s="50" t="n">
        <x:f>SUMIFS(Fuente!$C$6:$C$37,Fuente!$A$6:$A$37,C8,Fuente!$B$6:$B$37,E8)</x:f>
        <x:v>2237</x:v>
      </x:c>
      <x:c r="H8" s="51" t="n">
        <x:f>VLOOKUP(C8,Supuestos!$A$22:$B$37,2,FALSE)</x:f>
        <x:v>250</x:v>
      </x:c>
      <x:c r="I8" s="51" t="n">
        <x:f>VLOOKUP(D8,Supuestos!$A$12:$F$15,5,FALSE)</x:f>
        <x:v>1.15</x:v>
      </x:c>
      <x:c r="J8" s="52" t="n">
        <x:f>G8*IF(E8=1,F8,1)</x:f>
        <x:v>671.1</x:v>
      </x:c>
      <x:c r="K8" s="51" t="n">
        <x:f>H8*I8</x:f>
        <x:v>287.5</x:v>
      </x:c>
      <x:c r="L8" s="51" t="n">
        <x:f>ABS(J8*K8)</x:f>
        <x:v>192941.25</x:v>
      </x:c>
      <x:c r="M8" s="49" t="n">
        <x:f>VLOOKUP(D8,Supuestos!$A$12:$F$15,4,FALSE)</x:f>
        <x:v>0.1</x:v>
      </x:c>
      <x:c r="N8" s="49" t="n">
        <x:f>VLOOKUP(D8,Supuestos!$A$12:$F$15,6,FALSE)</x:f>
        <x:v>0.02</x:v>
      </x:c>
      <x:c r="O8" s="52" t="n">
        <x:f>J8*(1+M8)</x:f>
        <x:v>738.21</x:v>
      </x:c>
      <x:c r="P8" s="51" t="n">
        <x:f>K8*(1+N8)</x:f>
        <x:v>293.25</x:v>
      </x:c>
      <x:c r="Q8" s="51" t="n">
        <x:f>ABS(O8*P8)</x:f>
        <x:v>216480.08250000002</x:v>
      </x:c>
      <x:c r="R8" s="51" t="n">
        <x:f>Q8-L8</x:f>
        <x:v>23538.83250000002</x:v>
      </x:c>
      <x:c r="S8" s="51" t="n">
        <x:f>(O8-J8)*K8</x:f>
        <x:v>19294.125000000004</x:v>
      </x:c>
      <x:c r="T8" s="51" t="n">
        <x:f>J8*(P8-K8)</x:f>
        <x:v>3858.8250000000003</x:v>
      </x:c>
      <x:c r="U8" s="51" t="n">
        <x:f>(O8-J8)*(P8-K8)</x:f>
        <x:v>385.88250000000005</x:v>
      </x:c>
      <x:c r="V8" s="51" t="n">
        <x:f>ROUND(R8-SUM(S8:U8),2)</x:f>
        <x:v>0</x:v>
      </x:c>
    </x:row>
    <x:row r="9">
      <x:c r="A9" s="13" t="n">
        <x:v>2025</x:v>
      </x:c>
      <x:c r="B9" s="13" t="str">
        <x:v>Base</x:v>
      </x:c>
      <x:c r="C9" s="13" t="str">
        <x:v>Aportación</x:v>
      </x:c>
      <x:c r="D9" s="13" t="str">
        <x:v>ATM</x:v>
      </x:c>
      <x:c r="E9" s="13" t="n">
        <x:v>1</x:v>
      </x:c>
      <x:c r="F9" s="49" t="n">
        <x:f>VLOOKUP(D9,Supuestos!$A$12:$F$15,3,FALSE)</x:f>
        <x:v>0.15</x:v>
      </x:c>
      <x:c r="G9" s="50" t="n">
        <x:f>SUMIFS(Fuente!$C$6:$C$37,Fuente!$A$6:$A$37,C9,Fuente!$B$6:$B$37,E9)</x:f>
        <x:v>2237</x:v>
      </x:c>
      <x:c r="H9" s="51" t="n">
        <x:f>VLOOKUP(C9,Supuestos!$A$22:$B$37,2,FALSE)</x:f>
        <x:v>250</x:v>
      </x:c>
      <x:c r="I9" s="51" t="n">
        <x:f>VLOOKUP(D9,Supuestos!$A$12:$F$15,5,FALSE)</x:f>
        <x:v>0.75</x:v>
      </x:c>
      <x:c r="J9" s="52" t="n">
        <x:f>G9*IF(E9=1,F9,1)</x:f>
        <x:v>335.55</x:v>
      </x:c>
      <x:c r="K9" s="51" t="n">
        <x:f>H9*I9</x:f>
        <x:v>187.5</x:v>
      </x:c>
      <x:c r="L9" s="51" t="n">
        <x:f>ABS(J9*K9)</x:f>
        <x:v>62915.625</x:v>
      </x:c>
      <x:c r="M9" s="49" t="n">
        <x:f>VLOOKUP(D9,Supuestos!$A$12:$F$15,4,FALSE)</x:f>
        <x:v>0.04</x:v>
      </x:c>
      <x:c r="N9" s="49" t="n">
        <x:f>VLOOKUP(D9,Supuestos!$A$12:$F$15,6,FALSE)</x:f>
        <x:v>0.01</x:v>
      </x:c>
      <x:c r="O9" s="52" t="n">
        <x:f>J9*(1+M9)</x:f>
        <x:v>348.97200000000004</x:v>
      </x:c>
      <x:c r="P9" s="51" t="n">
        <x:f>K9*(1+N9)</x:f>
        <x:v>189.375</x:v>
      </x:c>
      <x:c r="Q9" s="51" t="n">
        <x:f>ABS(O9*P9)</x:f>
        <x:v>66086.57250000001</x:v>
      </x:c>
      <x:c r="R9" s="51" t="n">
        <x:f>Q9-L9</x:f>
        <x:v>3170.9475000000093</x:v>
      </x:c>
      <x:c r="S9" s="51" t="n">
        <x:f>(O9-J9)*K9</x:f>
        <x:v>2516.6250000000045</x:v>
      </x:c>
      <x:c r="T9" s="51" t="n">
        <x:f>J9*(P9-K9)</x:f>
        <x:v>629.15625</x:v>
      </x:c>
      <x:c r="U9" s="51" t="n">
        <x:f>(O9-J9)*(P9-K9)</x:f>
        <x:v>25.166250000000048</x:v>
      </x:c>
      <x:c r="V9" s="51" t="n">
        <x:f>ROUND(R9-SUM(S9:U9),2)</x:f>
        <x:v>0</x:v>
      </x:c>
    </x:row>
    <x:row r="10">
      <x:c r="A10" s="13" t="n">
        <x:v>2025</x:v>
      </x:c>
      <x:c r="B10" s="13" t="str">
        <x:v>Base</x:v>
      </x:c>
      <x:c r="C10" s="13" t="str">
        <x:v>Avance de efectivo</x:v>
      </x:c>
      <x:c r="D10" s="13" t="str">
        <x:v>Sucursal</x:v>
      </x:c>
      <x:c r="E10" s="13" t="n">
        <x:v>0</x:v>
      </x:c>
      <x:c r="F10" s="49" t="n">
        <x:f>VLOOKUP(D10,Supuestos!$A$12:$F$15,3,FALSE)</x:f>
        <x:v>0</x:v>
      </x:c>
      <x:c r="G10" s="50" t="n">
        <x:f>SUMIFS(Fuente!$C$6:$C$37,Fuente!$A$6:$A$37,C10,Fuente!$B$6:$B$37,E10)</x:f>
        <x:v>511</x:v>
      </x:c>
      <x:c r="H10" s="51" t="n">
        <x:f>VLOOKUP(C10,Supuestos!$A$22:$B$37,2,FALSE)</x:f>
        <x:v>180</x:v>
      </x:c>
      <x:c r="I10" s="51" t="n">
        <x:f>VLOOKUP(D10,Supuestos!$A$12:$F$15,5,FALSE)</x:f>
        <x:v>1</x:v>
      </x:c>
      <x:c r="J10" s="52" t="n">
        <x:f>G10*IF(E10=1,F10,1)</x:f>
        <x:v>511</x:v>
      </x:c>
      <x:c r="K10" s="51" t="n">
        <x:f>H10*I10</x:f>
        <x:v>180</x:v>
      </x:c>
      <x:c r="L10" s="51" t="n">
        <x:f>ABS(J10*K10)</x:f>
        <x:v>91980</x:v>
      </x:c>
      <x:c r="M10" s="49" t="n">
        <x:f>VLOOKUP(D10,Supuestos!$A$12:$F$15,4,FALSE)</x:f>
        <x:v>-0.08</x:v>
      </x:c>
      <x:c r="N10" s="49" t="n">
        <x:f>VLOOKUP(D10,Supuestos!$A$12:$F$15,6,FALSE)</x:f>
        <x:v>0.01</x:v>
      </x:c>
      <x:c r="O10" s="52" t="n">
        <x:f>J10*(1+M10)</x:f>
        <x:v>470.12</x:v>
      </x:c>
      <x:c r="P10" s="51" t="n">
        <x:f>K10*(1+N10)</x:f>
        <x:v>181.8</x:v>
      </x:c>
      <x:c r="Q10" s="51" t="n">
        <x:f>ABS(O10*P10)</x:f>
        <x:v>85467.816</x:v>
      </x:c>
      <x:c r="R10" s="51" t="n">
        <x:f>Q10-L10</x:f>
        <x:v>-6512.183999999994</x:v>
      </x:c>
      <x:c r="S10" s="51" t="n">
        <x:f>(O10-J10)*K10</x:f>
        <x:v>-7358.4</x:v>
      </x:c>
      <x:c r="T10" s="51" t="n">
        <x:f>J10*(P10-K10)</x:f>
        <x:v>919.8000000000059</x:v>
      </x:c>
      <x:c r="U10" s="51" t="n">
        <x:f>(O10-J10)*(P10-K10)</x:f>
        <x:v>-73.58400000000046</x:v>
      </x:c>
      <x:c r="V10" s="51" t="n">
        <x:f>ROUND(R10-SUM(S10:U10),2)</x:f>
        <x:v>0</x:v>
      </x:c>
    </x:row>
    <x:row r="11">
      <x:c r="A11" s="13" t="n">
        <x:v>2025</x:v>
      </x:c>
      <x:c r="B11" s="13" t="str">
        <x:v>Base</x:v>
      </x:c>
      <x:c r="C11" s="13" t="str">
        <x:v>Avance de efectivo</x:v>
      </x:c>
      <x:c r="D11" s="13" t="str">
        <x:v>App móvil</x:v>
      </x:c>
      <x:c r="E11" s="13" t="n">
        <x:v>1</x:v>
      </x:c>
      <x:c r="F11" s="49" t="n">
        <x:f>VLOOKUP(D11,Supuestos!$A$12:$F$15,3,FALSE)</x:f>
        <x:v>0.55</x:v>
      </x:c>
      <x:c r="G11" s="50" t="n">
        <x:f>SUMIFS(Fuente!$C$6:$C$37,Fuente!$A$6:$A$37,C11,Fuente!$B$6:$B$37,E11)</x:f>
        <x:v>1727</x:v>
      </x:c>
      <x:c r="H11" s="51" t="n">
        <x:f>VLOOKUP(C11,Supuestos!$A$22:$B$37,2,FALSE)</x:f>
        <x:v>180</x:v>
      </x:c>
      <x:c r="I11" s="51" t="n">
        <x:f>VLOOKUP(D11,Supuestos!$A$12:$F$15,5,FALSE)</x:f>
        <x:v>0.9</x:v>
      </x:c>
      <x:c r="J11" s="52" t="n">
        <x:f>G11*IF(E11=1,F11,1)</x:f>
        <x:v>949.85</x:v>
      </x:c>
      <x:c r="K11" s="51" t="n">
        <x:f>H11*I11</x:f>
        <x:v>162</x:v>
      </x:c>
      <x:c r="L11" s="51" t="n">
        <x:f>ABS(J11*K11)</x:f>
        <x:v>153875.7</x:v>
      </x:c>
      <x:c r="M11" s="49" t="n">
        <x:f>VLOOKUP(D11,Supuestos!$A$12:$F$15,4,FALSE)</x:f>
        <x:v>0.18</x:v>
      </x:c>
      <x:c r="N11" s="49" t="n">
        <x:f>VLOOKUP(D11,Supuestos!$A$12:$F$15,6,FALSE)</x:f>
        <x:v>0.03</x:v>
      </x:c>
      <x:c r="O11" s="52" t="n">
        <x:f>J11*(1+M11)</x:f>
        <x:v>1120.8229999999999</x:v>
      </x:c>
      <x:c r="P11" s="51" t="n">
        <x:f>K11*(1+N11)</x:f>
        <x:v>166.86</x:v>
      </x:c>
      <x:c r="Q11" s="51" t="n">
        <x:f>ABS(O11*P11)</x:f>
        <x:v>187020.52578</x:v>
      </x:c>
      <x:c r="R11" s="51" t="n">
        <x:f>Q11-L11</x:f>
        <x:v>33144.825779999985</x:v>
      </x:c>
      <x:c r="S11" s="51" t="n">
        <x:f>(O11-J11)*K11</x:f>
        <x:v>27697.625999999975</x:v>
      </x:c>
      <x:c r="T11" s="51" t="n">
        <x:f>J11*(P11-K11)</x:f>
        <x:v>4616.271000000013</x:v>
      </x:c>
      <x:c r="U11" s="51" t="n">
        <x:f>(O11-J11)*(P11-K11)</x:f>
        <x:v>830.9287800000016</x:v>
      </x:c>
      <x:c r="V11" s="51" t="n">
        <x:f>ROUND(R11-SUM(S11:U11),2)</x:f>
        <x:v>0</x:v>
      </x:c>
    </x:row>
    <x:row r="12">
      <x:c r="A12" s="13" t="n">
        <x:v>2025</x:v>
      </x:c>
      <x:c r="B12" s="13" t="str">
        <x:v>Base</x:v>
      </x:c>
      <x:c r="C12" s="13" t="str">
        <x:v>Avance de efectivo</x:v>
      </x:c>
      <x:c r="D12" s="13" t="str">
        <x:v>Banca web</x:v>
      </x:c>
      <x:c r="E12" s="13" t="n">
        <x:v>1</x:v>
      </x:c>
      <x:c r="F12" s="49" t="n">
        <x:f>VLOOKUP(D12,Supuestos!$A$12:$F$15,3,FALSE)</x:f>
        <x:v>0.3</x:v>
      </x:c>
      <x:c r="G12" s="50" t="n">
        <x:f>SUMIFS(Fuente!$C$6:$C$37,Fuente!$A$6:$A$37,C12,Fuente!$B$6:$B$37,E12)</x:f>
        <x:v>1727</x:v>
      </x:c>
      <x:c r="H12" s="51" t="n">
        <x:f>VLOOKUP(C12,Supuestos!$A$22:$B$37,2,FALSE)</x:f>
        <x:v>180</x:v>
      </x:c>
      <x:c r="I12" s="51" t="n">
        <x:f>VLOOKUP(D12,Supuestos!$A$12:$F$15,5,FALSE)</x:f>
        <x:v>1.15</x:v>
      </x:c>
      <x:c r="J12" s="52" t="n">
        <x:f>G12*IF(E12=1,F12,1)</x:f>
        <x:v>518.1</x:v>
      </x:c>
      <x:c r="K12" s="51" t="n">
        <x:f>H12*I12</x:f>
        <x:v>206.99999999999997</x:v>
      </x:c>
      <x:c r="L12" s="51" t="n">
        <x:f>ABS(J12*K12)</x:f>
        <x:v>107246.7</x:v>
      </x:c>
      <x:c r="M12" s="49" t="n">
        <x:f>VLOOKUP(D12,Supuestos!$A$12:$F$15,4,FALSE)</x:f>
        <x:v>0.1</x:v>
      </x:c>
      <x:c r="N12" s="49" t="n">
        <x:f>VLOOKUP(D12,Supuestos!$A$12:$F$15,6,FALSE)</x:f>
        <x:v>0.02</x:v>
      </x:c>
      <x:c r="O12" s="52" t="n">
        <x:f>J12*(1+M12)</x:f>
        <x:v>569.9100000000001</x:v>
      </x:c>
      <x:c r="P12" s="51" t="n">
        <x:f>K12*(1+N12)</x:f>
        <x:v>211.14</x:v>
      </x:c>
      <x:c r="Q12" s="51" t="n">
        <x:f>ABS(O12*P12)</x:f>
        <x:v>120330.79740000001</x:v>
      </x:c>
      <x:c r="R12" s="51" t="n">
        <x:f>Q12-L12</x:f>
        <x:v>13084.097400000013</x:v>
      </x:c>
      <x:c r="S12" s="51" t="n">
        <x:f>(O12-J12)*K12</x:f>
        <x:v>10724.670000000011</x:v>
      </x:c>
      <x:c r="T12" s="51" t="n">
        <x:f>J12*(P12-K12)</x:f>
        <x:v>2144.934000000008</x:v>
      </x:c>
      <x:c r="U12" s="51" t="n">
        <x:f>(O12-J12)*(P12-K12)</x:f>
        <x:v>214.493400000001</x:v>
      </x:c>
      <x:c r="V12" s="51" t="n">
        <x:f>ROUND(R12-SUM(S12:U12),2)</x:f>
        <x:v>0</x:v>
      </x:c>
    </x:row>
    <x:row r="13">
      <x:c r="A13" s="13" t="n">
        <x:v>2025</x:v>
      </x:c>
      <x:c r="B13" s="13" t="str">
        <x:v>Base</x:v>
      </x:c>
      <x:c r="C13" s="13" t="str">
        <x:v>Avance de efectivo</x:v>
      </x:c>
      <x:c r="D13" s="13" t="str">
        <x:v>ATM</x:v>
      </x:c>
      <x:c r="E13" s="13" t="n">
        <x:v>1</x:v>
      </x:c>
      <x:c r="F13" s="49" t="n">
        <x:f>VLOOKUP(D13,Supuestos!$A$12:$F$15,3,FALSE)</x:f>
        <x:v>0.15</x:v>
      </x:c>
      <x:c r="G13" s="50" t="n">
        <x:f>SUMIFS(Fuente!$C$6:$C$37,Fuente!$A$6:$A$37,C13,Fuente!$B$6:$B$37,E13)</x:f>
        <x:v>1727</x:v>
      </x:c>
      <x:c r="H13" s="51" t="n">
        <x:f>VLOOKUP(C13,Supuestos!$A$22:$B$37,2,FALSE)</x:f>
        <x:v>180</x:v>
      </x:c>
      <x:c r="I13" s="51" t="n">
        <x:f>VLOOKUP(D13,Supuestos!$A$12:$F$15,5,FALSE)</x:f>
        <x:v>0.75</x:v>
      </x:c>
      <x:c r="J13" s="52" t="n">
        <x:f>G13*IF(E13=1,F13,1)</x:f>
        <x:v>259.05</x:v>
      </x:c>
      <x:c r="K13" s="51" t="n">
        <x:f>H13*I13</x:f>
        <x:v>135</x:v>
      </x:c>
      <x:c r="L13" s="51" t="n">
        <x:f>ABS(J13*K13)</x:f>
        <x:v>34971.75</x:v>
      </x:c>
      <x:c r="M13" s="49" t="n">
        <x:f>VLOOKUP(D13,Supuestos!$A$12:$F$15,4,FALSE)</x:f>
        <x:v>0.04</x:v>
      </x:c>
      <x:c r="N13" s="49" t="n">
        <x:f>VLOOKUP(D13,Supuestos!$A$12:$F$15,6,FALSE)</x:f>
        <x:v>0.01</x:v>
      </x:c>
      <x:c r="O13" s="52" t="n">
        <x:f>J13*(1+M13)</x:f>
        <x:v>269.41200000000003</x:v>
      </x:c>
      <x:c r="P13" s="51" t="n">
        <x:f>K13*(1+N13)</x:f>
        <x:v>136.35</x:v>
      </x:c>
      <x:c r="Q13" s="51" t="n">
        <x:f>ABS(O13*P13)</x:f>
        <x:v>36734.3262</x:v>
      </x:c>
      <x:c r="R13" s="51" t="n">
        <x:f>Q13-L13</x:f>
        <x:v>1762.5762000000032</x:v>
      </x:c>
      <x:c r="S13" s="51" t="n">
        <x:f>(O13-J13)*K13</x:f>
        <x:v>1398.870000000003</x:v>
      </x:c>
      <x:c r="T13" s="51" t="n">
        <x:f>J13*(P13-K13)</x:f>
        <x:v>349.71749999999855</x:v>
      </x:c>
      <x:c r="U13" s="51" t="n">
        <x:f>(O13-J13)*(P13-K13)</x:f>
        <x:v>13.988699999999973</x:v>
      </x:c>
      <x:c r="V13" s="51" t="n">
        <x:f>ROUND(R13-SUM(S13:U13),2)</x:f>
        <x:v>0</x:v>
      </x:c>
    </x:row>
    <x:row r="14">
      <x:c r="A14" s="13" t="n">
        <x:v>2025</x:v>
      </x:c>
      <x:c r="B14" s="13" t="str">
        <x:v>Base</x:v>
      </x:c>
      <x:c r="C14" s="13" t="str">
        <x:v>Cargo de interés</x:v>
      </x:c>
      <x:c r="D14" s="13" t="str">
        <x:v>Sucursal</x:v>
      </x:c>
      <x:c r="E14" s="13" t="n">
        <x:v>0</x:v>
      </x:c>
      <x:c r="F14" s="49" t="n">
        <x:f>VLOOKUP(D14,Supuestos!$A$12:$F$15,3,FALSE)</x:f>
        <x:v>0</x:v>
      </x:c>
      <x:c r="G14" s="50" t="n">
        <x:f>SUMIFS(Fuente!$C$6:$C$37,Fuente!$A$6:$A$37,C14,Fuente!$B$6:$B$37,E14)</x:f>
        <x:v>1129</x:v>
      </x:c>
      <x:c r="H14" s="51" t="n">
        <x:f>VLOOKUP(C14,Supuestos!$A$22:$B$37,2,FALSE)</x:f>
        <x:v>35</x:v>
      </x:c>
      <x:c r="I14" s="51" t="n">
        <x:f>VLOOKUP(D14,Supuestos!$A$12:$F$15,5,FALSE)</x:f>
        <x:v>1</x:v>
      </x:c>
      <x:c r="J14" s="52" t="n">
        <x:f>G14*IF(E14=1,F14,1)</x:f>
        <x:v>1129</x:v>
      </x:c>
      <x:c r="K14" s="51" t="n">
        <x:f>H14*I14</x:f>
        <x:v>35</x:v>
      </x:c>
      <x:c r="L14" s="51" t="n">
        <x:f>ABS(J14*K14)</x:f>
        <x:v>39515</x:v>
      </x:c>
      <x:c r="M14" s="49" t="n">
        <x:f>VLOOKUP(D14,Supuestos!$A$12:$F$15,4,FALSE)</x:f>
        <x:v>-0.08</x:v>
      </x:c>
      <x:c r="N14" s="49" t="n">
        <x:f>VLOOKUP(D14,Supuestos!$A$12:$F$15,6,FALSE)</x:f>
        <x:v>0.01</x:v>
      </x:c>
      <x:c r="O14" s="52" t="n">
        <x:f>J14*(1+M14)</x:f>
        <x:v>1038.68</x:v>
      </x:c>
      <x:c r="P14" s="51" t="n">
        <x:f>K14*(1+N14)</x:f>
        <x:v>35.35</x:v>
      </x:c>
      <x:c r="Q14" s="51" t="n">
        <x:f>ABS(O14*P14)</x:f>
        <x:v>36717.338</x:v>
      </x:c>
      <x:c r="R14" s="51" t="n">
        <x:f>Q14-L14</x:f>
        <x:v>-2797.6619999999966</x:v>
      </x:c>
      <x:c r="S14" s="51" t="n">
        <x:f>(O14-J14)*K14</x:f>
        <x:v>-3161.199999999998</x:v>
      </x:c>
      <x:c r="T14" s="51" t="n">
        <x:f>J14*(P14-K14)</x:f>
        <x:v>395.1500000000016</x:v>
      </x:c>
      <x:c r="U14" s="51" t="n">
        <x:f>(O14-J14)*(P14-K14)</x:f>
        <x:v>-31.612000000000105</x:v>
      </x:c>
      <x:c r="V14" s="51" t="n">
        <x:f>ROUND(R14-SUM(S14:U14),2)</x:f>
        <x:v>0</x:v>
      </x:c>
    </x:row>
    <x:row r="15">
      <x:c r="A15" s="13" t="n">
        <x:v>2025</x:v>
      </x:c>
      <x:c r="B15" s="13" t="str">
        <x:v>Base</x:v>
      </x:c>
      <x:c r="C15" s="13" t="str">
        <x:v>Cargo de interés</x:v>
      </x:c>
      <x:c r="D15" s="13" t="str">
        <x:v>App móvil</x:v>
      </x:c>
      <x:c r="E15" s="13" t="n">
        <x:v>1</x:v>
      </x:c>
      <x:c r="F15" s="49" t="n">
        <x:f>VLOOKUP(D15,Supuestos!$A$12:$F$15,3,FALSE)</x:f>
        <x:v>0.55</x:v>
      </x:c>
      <x:c r="G15" s="50" t="n">
        <x:f>SUMIFS(Fuente!$C$6:$C$37,Fuente!$A$6:$A$37,C15,Fuente!$B$6:$B$37,E15)</x:f>
        <x:v>3680</x:v>
      </x:c>
      <x:c r="H15" s="51" t="n">
        <x:f>VLOOKUP(C15,Supuestos!$A$22:$B$37,2,FALSE)</x:f>
        <x:v>35</x:v>
      </x:c>
      <x:c r="I15" s="51" t="n">
        <x:f>VLOOKUP(D15,Supuestos!$A$12:$F$15,5,FALSE)</x:f>
        <x:v>0.9</x:v>
      </x:c>
      <x:c r="J15" s="52" t="n">
        <x:f>G15*IF(E15=1,F15,1)</x:f>
        <x:v>2024.0000000000002</x:v>
      </x:c>
      <x:c r="K15" s="51" t="n">
        <x:f>H15*I15</x:f>
        <x:v>31.5</x:v>
      </x:c>
      <x:c r="L15" s="51" t="n">
        <x:f>ABS(J15*K15)</x:f>
        <x:v>63756.00000000001</x:v>
      </x:c>
      <x:c r="M15" s="49" t="n">
        <x:f>VLOOKUP(D15,Supuestos!$A$12:$F$15,4,FALSE)</x:f>
        <x:v>0.18</x:v>
      </x:c>
      <x:c r="N15" s="49" t="n">
        <x:f>VLOOKUP(D15,Supuestos!$A$12:$F$15,6,FALSE)</x:f>
        <x:v>0.03</x:v>
      </x:c>
      <x:c r="O15" s="52" t="n">
        <x:f>J15*(1+M15)</x:f>
        <x:v>2388.32</x:v>
      </x:c>
      <x:c r="P15" s="51" t="n">
        <x:f>K15*(1+N15)</x:f>
        <x:v>32.445</x:v>
      </x:c>
      <x:c r="Q15" s="51" t="n">
        <x:f>ABS(O15*P15)</x:f>
        <x:v>77489.0424</x:v>
      </x:c>
      <x:c r="R15" s="51" t="n">
        <x:f>Q15-L15</x:f>
        <x:v>13733.042399999998</x:v>
      </x:c>
      <x:c r="S15" s="51" t="n">
        <x:f>(O15-J15)*K15</x:f>
        <x:v>11476.079999999998</x:v>
      </x:c>
      <x:c r="T15" s="51" t="n">
        <x:f>J15*(P15-K15)</x:f>
        <x:v>1912.6800000000007</x:v>
      </x:c>
      <x:c r="U15" s="51" t="n">
        <x:f>(O15-J15)*(P15-K15)</x:f>
        <x:v>344.28240000000005</x:v>
      </x:c>
      <x:c r="V15" s="51" t="n">
        <x:f>ROUND(R15-SUM(S15:U15),2)</x:f>
        <x:v>0</x:v>
      </x:c>
    </x:row>
    <x:row r="16">
      <x:c r="A16" s="13" t="n">
        <x:v>2025</x:v>
      </x:c>
      <x:c r="B16" s="13" t="str">
        <x:v>Base</x:v>
      </x:c>
      <x:c r="C16" s="13" t="str">
        <x:v>Cargo de interés</x:v>
      </x:c>
      <x:c r="D16" s="13" t="str">
        <x:v>Banca web</x:v>
      </x:c>
      <x:c r="E16" s="13" t="n">
        <x:v>1</x:v>
      </x:c>
      <x:c r="F16" s="49" t="n">
        <x:f>VLOOKUP(D16,Supuestos!$A$12:$F$15,3,FALSE)</x:f>
        <x:v>0.3</x:v>
      </x:c>
      <x:c r="G16" s="50" t="n">
        <x:f>SUMIFS(Fuente!$C$6:$C$37,Fuente!$A$6:$A$37,C16,Fuente!$B$6:$B$37,E16)</x:f>
        <x:v>3680</x:v>
      </x:c>
      <x:c r="H16" s="51" t="n">
        <x:f>VLOOKUP(C16,Supuestos!$A$22:$B$37,2,FALSE)</x:f>
        <x:v>35</x:v>
      </x:c>
      <x:c r="I16" s="51" t="n">
        <x:f>VLOOKUP(D16,Supuestos!$A$12:$F$15,5,FALSE)</x:f>
        <x:v>1.15</x:v>
      </x:c>
      <x:c r="J16" s="52" t="n">
        <x:f>G16*IF(E16=1,F16,1)</x:f>
        <x:v>1104</x:v>
      </x:c>
      <x:c r="K16" s="51" t="n">
        <x:f>H16*I16</x:f>
        <x:v>40.25</x:v>
      </x:c>
      <x:c r="L16" s="51" t="n">
        <x:f>ABS(J16*K16)</x:f>
        <x:v>44436</x:v>
      </x:c>
      <x:c r="M16" s="49" t="n">
        <x:f>VLOOKUP(D16,Supuestos!$A$12:$F$15,4,FALSE)</x:f>
        <x:v>0.1</x:v>
      </x:c>
      <x:c r="N16" s="49" t="n">
        <x:f>VLOOKUP(D16,Supuestos!$A$12:$F$15,6,FALSE)</x:f>
        <x:v>0.02</x:v>
      </x:c>
      <x:c r="O16" s="52" t="n">
        <x:f>J16*(1+M16)</x:f>
        <x:v>1214.4</x:v>
      </x:c>
      <x:c r="P16" s="51" t="n">
        <x:f>K16*(1+N16)</x:f>
        <x:v>41.055</x:v>
      </x:c>
      <x:c r="Q16" s="51" t="n">
        <x:f>ABS(O16*P16)</x:f>
        <x:v>49857.192</x:v>
      </x:c>
      <x:c r="R16" s="51" t="n">
        <x:f>Q16-L16</x:f>
        <x:v>5421.192000000003</x:v>
      </x:c>
      <x:c r="S16" s="51" t="n">
        <x:f>(O16-J16)*K16</x:f>
        <x:v>4443.600000000004</x:v>
      </x:c>
      <x:c r="T16" s="51" t="n">
        <x:f>J16*(P16-K16)</x:f>
        <x:v>888.7199999999997</x:v>
      </x:c>
      <x:c r="U16" s="51" t="n">
        <x:f>(O16-J16)*(P16-K16)</x:f>
        <x:v>88.87200000000004</x:v>
      </x:c>
      <x:c r="V16" s="51" t="n">
        <x:f>ROUND(R16-SUM(S16:U16),2)</x:f>
        <x:v>0</x:v>
      </x:c>
    </x:row>
    <x:row r="17">
      <x:c r="A17" s="13" t="n">
        <x:v>2025</x:v>
      </x:c>
      <x:c r="B17" s="13" t="str">
        <x:v>Base</x:v>
      </x:c>
      <x:c r="C17" s="13" t="str">
        <x:v>Cargo de interés</x:v>
      </x:c>
      <x:c r="D17" s="13" t="str">
        <x:v>ATM</x:v>
      </x:c>
      <x:c r="E17" s="13" t="n">
        <x:v>1</x:v>
      </x:c>
      <x:c r="F17" s="49" t="n">
        <x:f>VLOOKUP(D17,Supuestos!$A$12:$F$15,3,FALSE)</x:f>
        <x:v>0.15</x:v>
      </x:c>
      <x:c r="G17" s="50" t="n">
        <x:f>SUMIFS(Fuente!$C$6:$C$37,Fuente!$A$6:$A$37,C17,Fuente!$B$6:$B$37,E17)</x:f>
        <x:v>3680</x:v>
      </x:c>
      <x:c r="H17" s="51" t="n">
        <x:f>VLOOKUP(C17,Supuestos!$A$22:$B$37,2,FALSE)</x:f>
        <x:v>35</x:v>
      </x:c>
      <x:c r="I17" s="51" t="n">
        <x:f>VLOOKUP(D17,Supuestos!$A$12:$F$15,5,FALSE)</x:f>
        <x:v>0.75</x:v>
      </x:c>
      <x:c r="J17" s="52" t="n">
        <x:f>G17*IF(E17=1,F17,1)</x:f>
        <x:v>552</x:v>
      </x:c>
      <x:c r="K17" s="51" t="n">
        <x:f>H17*I17</x:f>
        <x:v>26.25</x:v>
      </x:c>
      <x:c r="L17" s="51" t="n">
        <x:f>ABS(J17*K17)</x:f>
        <x:v>14490</x:v>
      </x:c>
      <x:c r="M17" s="49" t="n">
        <x:f>VLOOKUP(D17,Supuestos!$A$12:$F$15,4,FALSE)</x:f>
        <x:v>0.04</x:v>
      </x:c>
      <x:c r="N17" s="49" t="n">
        <x:f>VLOOKUP(D17,Supuestos!$A$12:$F$15,6,FALSE)</x:f>
        <x:v>0.01</x:v>
      </x:c>
      <x:c r="O17" s="52" t="n">
        <x:f>J17*(1+M17)</x:f>
        <x:v>574.08</x:v>
      </x:c>
      <x:c r="P17" s="51" t="n">
        <x:f>K17*(1+N17)</x:f>
        <x:v>26.5125</x:v>
      </x:c>
      <x:c r="Q17" s="51" t="n">
        <x:f>ABS(O17*P17)</x:f>
        <x:v>15220.296</x:v>
      </x:c>
      <x:c r="R17" s="51" t="n">
        <x:f>Q17-L17</x:f>
        <x:v>730.2960000000003</x:v>
      </x:c>
      <x:c r="S17" s="51" t="n">
        <x:f>(O17-J17)*K17</x:f>
        <x:v>579.600000000001</x:v>
      </x:c>
      <x:c r="T17" s="51" t="n">
        <x:f>J17*(P17-K17)</x:f>
        <x:v>144.8999999999996</x:v>
      </x:c>
      <x:c r="U17" s="51" t="n">
        <x:f>(O17-J17)*(P17-K17)</x:f>
        <x:v>5.795999999999995</x:v>
      </x:c>
      <x:c r="V17" s="51" t="n">
        <x:f>ROUND(R17-SUM(S17:U17),2)</x:f>
        <x:v>0</x:v>
      </x:c>
    </x:row>
    <x:row r="18">
      <x:c r="A18" s="13" t="n">
        <x:v>2025</x:v>
      </x:c>
      <x:c r="B18" s="13" t="str">
        <x:v>Base</x:v>
      </x:c>
      <x:c r="C18" s="13" t="str">
        <x:v>Compra</x:v>
      </x:c>
      <x:c r="D18" s="13" t="str">
        <x:v>Sucursal</x:v>
      </x:c>
      <x:c r="E18" s="13" t="n">
        <x:v>0</x:v>
      </x:c>
      <x:c r="F18" s="49" t="n">
        <x:f>VLOOKUP(D18,Supuestos!$A$12:$F$15,3,FALSE)</x:f>
        <x:v>0</x:v>
      </x:c>
      <x:c r="G18" s="50" t="n">
        <x:f>SUMIFS(Fuente!$C$6:$C$37,Fuente!$A$6:$A$37,C18,Fuente!$B$6:$B$37,E18)</x:f>
        <x:v>1561</x:v>
      </x:c>
      <x:c r="H18" s="51" t="n">
        <x:f>VLOOKUP(C18,Supuestos!$A$22:$B$37,2,FALSE)</x:f>
        <x:v>85</x:v>
      </x:c>
      <x:c r="I18" s="51" t="n">
        <x:f>VLOOKUP(D18,Supuestos!$A$12:$F$15,5,FALSE)</x:f>
        <x:v>1</x:v>
      </x:c>
      <x:c r="J18" s="52" t="n">
        <x:f>G18*IF(E18=1,F18,1)</x:f>
        <x:v>1561</x:v>
      </x:c>
      <x:c r="K18" s="51" t="n">
        <x:f>H18*I18</x:f>
        <x:v>85</x:v>
      </x:c>
      <x:c r="L18" s="51" t="n">
        <x:f>ABS(J18*K18)</x:f>
        <x:v>132685</x:v>
      </x:c>
      <x:c r="M18" s="49" t="n">
        <x:f>VLOOKUP(D18,Supuestos!$A$12:$F$15,4,FALSE)</x:f>
        <x:v>-0.08</x:v>
      </x:c>
      <x:c r="N18" s="49" t="n">
        <x:f>VLOOKUP(D18,Supuestos!$A$12:$F$15,6,FALSE)</x:f>
        <x:v>0.01</x:v>
      </x:c>
      <x:c r="O18" s="52" t="n">
        <x:f>J18*(1+M18)</x:f>
        <x:v>1436.1200000000001</x:v>
      </x:c>
      <x:c r="P18" s="51" t="n">
        <x:f>K18*(1+N18)</x:f>
        <x:v>85.85</x:v>
      </x:c>
      <x:c r="Q18" s="51" t="n">
        <x:f>ABS(O18*P18)</x:f>
        <x:v>123290.902</x:v>
      </x:c>
      <x:c r="R18" s="51" t="n">
        <x:f>Q18-L18</x:f>
        <x:v>-9394.097999999998</x:v>
      </x:c>
      <x:c r="S18" s="51" t="n">
        <x:f>(O18-J18)*K18</x:f>
        <x:v>-10614.79999999999</x:v>
      </x:c>
      <x:c r="T18" s="51" t="n">
        <x:f>J18*(P18-K18)</x:f>
        <x:v>1326.849999999991</x:v>
      </x:c>
      <x:c r="U18" s="51" t="n">
        <x:f>(O18-J18)*(P18-K18)</x:f>
        <x:v>-106.14799999999919</x:v>
      </x:c>
      <x:c r="V18" s="51" t="n">
        <x:f>ROUND(R18-SUM(S18:U18),2)</x:f>
        <x:v>0</x:v>
      </x:c>
    </x:row>
    <x:row r="19">
      <x:c r="A19" s="13" t="n">
        <x:v>2025</x:v>
      </x:c>
      <x:c r="B19" s="13" t="str">
        <x:v>Base</x:v>
      </x:c>
      <x:c r="C19" s="13" t="str">
        <x:v>Compra</x:v>
      </x:c>
      <x:c r="D19" s="13" t="str">
        <x:v>App móvil</x:v>
      </x:c>
      <x:c r="E19" s="13" t="n">
        <x:v>1</x:v>
      </x:c>
      <x:c r="F19" s="49" t="n">
        <x:f>VLOOKUP(D19,Supuestos!$A$12:$F$15,3,FALSE)</x:f>
        <x:v>0.55</x:v>
      </x:c>
      <x:c r="G19" s="50" t="n">
        <x:f>SUMIFS(Fuente!$C$6:$C$37,Fuente!$A$6:$A$37,C19,Fuente!$B$6:$B$37,E19)</x:f>
        <x:v>4832</x:v>
      </x:c>
      <x:c r="H19" s="51" t="n">
        <x:f>VLOOKUP(C19,Supuestos!$A$22:$B$37,2,FALSE)</x:f>
        <x:v>85</x:v>
      </x:c>
      <x:c r="I19" s="51" t="n">
        <x:f>VLOOKUP(D19,Supuestos!$A$12:$F$15,5,FALSE)</x:f>
        <x:v>0.9</x:v>
      </x:c>
      <x:c r="J19" s="52" t="n">
        <x:f>G19*IF(E19=1,F19,1)</x:f>
        <x:v>2657.6000000000004</x:v>
      </x:c>
      <x:c r="K19" s="51" t="n">
        <x:f>H19*I19</x:f>
        <x:v>76.5</x:v>
      </x:c>
      <x:c r="L19" s="51" t="n">
        <x:f>ABS(J19*K19)</x:f>
        <x:v>203306.40000000002</x:v>
      </x:c>
      <x:c r="M19" s="49" t="n">
        <x:f>VLOOKUP(D19,Supuestos!$A$12:$F$15,4,FALSE)</x:f>
        <x:v>0.18</x:v>
      </x:c>
      <x:c r="N19" s="49" t="n">
        <x:f>VLOOKUP(D19,Supuestos!$A$12:$F$15,6,FALSE)</x:f>
        <x:v>0.03</x:v>
      </x:c>
      <x:c r="O19" s="52" t="n">
        <x:f>J19*(1+M19)</x:f>
        <x:v>3135.9680000000003</x:v>
      </x:c>
      <x:c r="P19" s="51" t="n">
        <x:f>K19*(1+N19)</x:f>
        <x:v>78.795</x:v>
      </x:c>
      <x:c r="Q19" s="51" t="n">
        <x:f>ABS(O19*P19)</x:f>
        <x:v>247098.59856000004</x:v>
      </x:c>
      <x:c r="R19" s="51" t="n">
        <x:f>Q19-L19</x:f>
        <x:v>43792.19856000002</x:v>
      </x:c>
      <x:c r="S19" s="51" t="n">
        <x:f>(O19-J19)*K19</x:f>
        <x:v>36595.151999999995</x:v>
      </x:c>
      <x:c r="T19" s="51" t="n">
        <x:f>J19*(P19-K19)</x:f>
        <x:v>6099.1920000000055</x:v>
      </x:c>
      <x:c r="U19" s="51" t="n">
        <x:f>(O19-J19)*(P19-K19)</x:f>
        <x:v>1097.8545600000007</x:v>
      </x:c>
      <x:c r="V19" s="51" t="n">
        <x:f>ROUND(R19-SUM(S19:U19),2)</x:f>
        <x:v>0</x:v>
      </x:c>
    </x:row>
    <x:row r="20">
      <x:c r="A20" s="13" t="n">
        <x:v>2025</x:v>
      </x:c>
      <x:c r="B20" s="13" t="str">
        <x:v>Base</x:v>
      </x:c>
      <x:c r="C20" s="13" t="str">
        <x:v>Compra</x:v>
      </x:c>
      <x:c r="D20" s="13" t="str">
        <x:v>Banca web</x:v>
      </x:c>
      <x:c r="E20" s="13" t="n">
        <x:v>1</x:v>
      </x:c>
      <x:c r="F20" s="49" t="n">
        <x:f>VLOOKUP(D20,Supuestos!$A$12:$F$15,3,FALSE)</x:f>
        <x:v>0.3</x:v>
      </x:c>
      <x:c r="G20" s="50" t="n">
        <x:f>SUMIFS(Fuente!$C$6:$C$37,Fuente!$A$6:$A$37,C20,Fuente!$B$6:$B$37,E20)</x:f>
        <x:v>4832</x:v>
      </x:c>
      <x:c r="H20" s="51" t="n">
        <x:f>VLOOKUP(C20,Supuestos!$A$22:$B$37,2,FALSE)</x:f>
        <x:v>85</x:v>
      </x:c>
      <x:c r="I20" s="51" t="n">
        <x:f>VLOOKUP(D20,Supuestos!$A$12:$F$15,5,FALSE)</x:f>
        <x:v>1.15</x:v>
      </x:c>
      <x:c r="J20" s="52" t="n">
        <x:f>G20*IF(E20=1,F20,1)</x:f>
        <x:v>1449.6</x:v>
      </x:c>
      <x:c r="K20" s="51" t="n">
        <x:f>H20*I20</x:f>
        <x:v>97.74999999999999</x:v>
      </x:c>
      <x:c r="L20" s="51" t="n">
        <x:f>ABS(J20*K20)</x:f>
        <x:v>141698.39999999997</x:v>
      </x:c>
      <x:c r="M20" s="49" t="n">
        <x:f>VLOOKUP(D20,Supuestos!$A$12:$F$15,4,FALSE)</x:f>
        <x:v>0.1</x:v>
      </x:c>
      <x:c r="N20" s="49" t="n">
        <x:f>VLOOKUP(D20,Supuestos!$A$12:$F$15,6,FALSE)</x:f>
        <x:v>0.02</x:v>
      </x:c>
      <x:c r="O20" s="52" t="n">
        <x:f>J20*(1+M20)</x:f>
        <x:v>1594.56</x:v>
      </x:c>
      <x:c r="P20" s="51" t="n">
        <x:f>K20*(1+N20)</x:f>
        <x:v>99.70499999999998</x:v>
      </x:c>
      <x:c r="Q20" s="51" t="n">
        <x:f>ABS(O20*P20)</x:f>
        <x:v>158985.60479999997</x:v>
      </x:c>
      <x:c r="R20" s="51" t="n">
        <x:f>Q20-L20</x:f>
        <x:v>17287.204800000007</x:v>
      </x:c>
      <x:c r="S20" s="51" t="n">
        <x:f>(O20-J20)*K20</x:f>
        <x:v>14169.840000000002</x:v>
      </x:c>
      <x:c r="T20" s="51" t="n">
        <x:f>J20*(P20-K20)</x:f>
        <x:v>2833.9679999999976</x:v>
      </x:c>
      <x:c r="U20" s="51" t="n">
        <x:f>(O20-J20)*(P20-K20)</x:f>
        <x:v>283.3967999999998</x:v>
      </x:c>
      <x:c r="V20" s="51" t="n">
        <x:f>ROUND(R20-SUM(S20:U20),2)</x:f>
        <x:v>0</x:v>
      </x:c>
    </x:row>
    <x:row r="21">
      <x:c r="A21" s="13" t="n">
        <x:v>2025</x:v>
      </x:c>
      <x:c r="B21" s="13" t="str">
        <x:v>Base</x:v>
      </x:c>
      <x:c r="C21" s="13" t="str">
        <x:v>Compra</x:v>
      </x:c>
      <x:c r="D21" s="13" t="str">
        <x:v>ATM</x:v>
      </x:c>
      <x:c r="E21" s="13" t="n">
        <x:v>1</x:v>
      </x:c>
      <x:c r="F21" s="49" t="n">
        <x:f>VLOOKUP(D21,Supuestos!$A$12:$F$15,3,FALSE)</x:f>
        <x:v>0.15</x:v>
      </x:c>
      <x:c r="G21" s="50" t="n">
        <x:f>SUMIFS(Fuente!$C$6:$C$37,Fuente!$A$6:$A$37,C21,Fuente!$B$6:$B$37,E21)</x:f>
        <x:v>4832</x:v>
      </x:c>
      <x:c r="H21" s="51" t="n">
        <x:f>VLOOKUP(C21,Supuestos!$A$22:$B$37,2,FALSE)</x:f>
        <x:v>85</x:v>
      </x:c>
      <x:c r="I21" s="51" t="n">
        <x:f>VLOOKUP(D21,Supuestos!$A$12:$F$15,5,FALSE)</x:f>
        <x:v>0.75</x:v>
      </x:c>
      <x:c r="J21" s="52" t="n">
        <x:f>G21*IF(E21=1,F21,1)</x:f>
        <x:v>724.8</x:v>
      </x:c>
      <x:c r="K21" s="51" t="n">
        <x:f>H21*I21</x:f>
        <x:v>63.75</x:v>
      </x:c>
      <x:c r="L21" s="51" t="n">
        <x:f>ABS(J21*K21)</x:f>
        <x:v>46206</x:v>
      </x:c>
      <x:c r="M21" s="49" t="n">
        <x:f>VLOOKUP(D21,Supuestos!$A$12:$F$15,4,FALSE)</x:f>
        <x:v>0.04</x:v>
      </x:c>
      <x:c r="N21" s="49" t="n">
        <x:f>VLOOKUP(D21,Supuestos!$A$12:$F$15,6,FALSE)</x:f>
        <x:v>0.01</x:v>
      </x:c>
      <x:c r="O21" s="52" t="n">
        <x:f>J21*(1+M21)</x:f>
        <x:v>753.792</x:v>
      </x:c>
      <x:c r="P21" s="51" t="n">
        <x:f>K21*(1+N21)</x:f>
        <x:v>64.3875</x:v>
      </x:c>
      <x:c r="Q21" s="51" t="n">
        <x:f>ABS(O21*P21)</x:f>
        <x:v>48534.782400000004</x:v>
      </x:c>
      <x:c r="R21" s="51" t="n">
        <x:f>Q21-L21</x:f>
        <x:v>2328.7824000000037</x:v>
      </x:c>
      <x:c r="S21" s="51" t="n">
        <x:f>(O21-J21)*K21</x:f>
        <x:v>1848.2400000000048</x:v>
      </x:c>
      <x:c r="T21" s="51" t="n">
        <x:f>J21*(P21-K21)</x:f>
        <x:v>462.06000000000205</x:v>
      </x:c>
      <x:c r="U21" s="51" t="n">
        <x:f>(O21-J21)*(P21-K21)</x:f>
        <x:v>18.48240000000013</x:v>
      </x:c>
      <x:c r="V21" s="51" t="n">
        <x:f>ROUND(R21-SUM(S21:U21),2)</x:f>
        <x:v>0</x:v>
      </x:c>
    </x:row>
    <x:row r="22">
      <x:c r="A22" s="13" t="n">
        <x:v>2025</x:v>
      </x:c>
      <x:c r="B22" s="13" t="str">
        <x:v>Base</x:v>
      </x:c>
      <x:c r="C22" s="13" t="str">
        <x:v>Depósito</x:v>
      </x:c>
      <x:c r="D22" s="13" t="str">
        <x:v>Sucursal</x:v>
      </x:c>
      <x:c r="E22" s="13" t="n">
        <x:v>0</x:v>
      </x:c>
      <x:c r="F22" s="49" t="n">
        <x:f>VLOOKUP(D22,Supuestos!$A$12:$F$15,3,FALSE)</x:f>
        <x:v>0</x:v>
      </x:c>
      <x:c r="G22" s="50" t="n">
        <x:f>SUMIFS(Fuente!$C$6:$C$37,Fuente!$A$6:$A$37,C22,Fuente!$B$6:$B$37,E22)</x:f>
        <x:v>905</x:v>
      </x:c>
      <x:c r="H22" s="51" t="n">
        <x:f>VLOOKUP(C22,Supuestos!$A$22:$B$37,2,FALSE)</x:f>
        <x:v>300</x:v>
      </x:c>
      <x:c r="I22" s="51" t="n">
        <x:f>VLOOKUP(D22,Supuestos!$A$12:$F$15,5,FALSE)</x:f>
        <x:v>1</x:v>
      </x:c>
      <x:c r="J22" s="52" t="n">
        <x:f>G22*IF(E22=1,F22,1)</x:f>
        <x:v>905</x:v>
      </x:c>
      <x:c r="K22" s="51" t="n">
        <x:f>H22*I22</x:f>
        <x:v>300</x:v>
      </x:c>
      <x:c r="L22" s="51" t="n">
        <x:f>ABS(J22*K22)</x:f>
        <x:v>271500</x:v>
      </x:c>
      <x:c r="M22" s="49" t="n">
        <x:f>VLOOKUP(D22,Supuestos!$A$12:$F$15,4,FALSE)</x:f>
        <x:v>-0.08</x:v>
      </x:c>
      <x:c r="N22" s="49" t="n">
        <x:f>VLOOKUP(D22,Supuestos!$A$12:$F$15,6,FALSE)</x:f>
        <x:v>0.01</x:v>
      </x:c>
      <x:c r="O22" s="52" t="n">
        <x:f>J22*(1+M22)</x:f>
        <x:v>832.6</x:v>
      </x:c>
      <x:c r="P22" s="51" t="n">
        <x:f>K22*(1+N22)</x:f>
        <x:v>303</x:v>
      </x:c>
      <x:c r="Q22" s="51" t="n">
        <x:f>ABS(O22*P22)</x:f>
        <x:v>252277.80000000002</x:v>
      </x:c>
      <x:c r="R22" s="51" t="n">
        <x:f>Q22-L22</x:f>
        <x:v>-19222.199999999983</x:v>
      </x:c>
      <x:c r="S22" s="51" t="n">
        <x:f>(O22-J22)*K22</x:f>
        <x:v>-21719.999999999993</x:v>
      </x:c>
      <x:c r="T22" s="51" t="n">
        <x:f>J22*(P22-K22)</x:f>
        <x:v>2715</x:v>
      </x:c>
      <x:c r="U22" s="51" t="n">
        <x:f>(O22-J22)*(P22-K22)</x:f>
        <x:v>-217.19999999999993</x:v>
      </x:c>
      <x:c r="V22" s="51" t="n">
        <x:f>ROUND(R22-SUM(S22:U22),2)</x:f>
        <x:v>0</x:v>
      </x:c>
    </x:row>
    <x:row r="23">
      <x:c r="A23" s="13" t="n">
        <x:v>2025</x:v>
      </x:c>
      <x:c r="B23" s="13" t="str">
        <x:v>Base</x:v>
      </x:c>
      <x:c r="C23" s="13" t="str">
        <x:v>Depósito</x:v>
      </x:c>
      <x:c r="D23" s="13" t="str">
        <x:v>App móvil</x:v>
      </x:c>
      <x:c r="E23" s="13" t="n">
        <x:v>1</x:v>
      </x:c>
      <x:c r="F23" s="49" t="n">
        <x:f>VLOOKUP(D23,Supuestos!$A$12:$F$15,3,FALSE)</x:f>
        <x:v>0.55</x:v>
      </x:c>
      <x:c r="G23" s="50" t="n">
        <x:f>SUMIFS(Fuente!$C$6:$C$37,Fuente!$A$6:$A$37,C23,Fuente!$B$6:$B$37,E23)</x:f>
        <x:v>3597</x:v>
      </x:c>
      <x:c r="H23" s="51" t="n">
        <x:f>VLOOKUP(C23,Supuestos!$A$22:$B$37,2,FALSE)</x:f>
        <x:v>300</x:v>
      </x:c>
      <x:c r="I23" s="51" t="n">
        <x:f>VLOOKUP(D23,Supuestos!$A$12:$F$15,5,FALSE)</x:f>
        <x:v>0.9</x:v>
      </x:c>
      <x:c r="J23" s="52" t="n">
        <x:f>G23*IF(E23=1,F23,1)</x:f>
        <x:v>1978.3500000000001</x:v>
      </x:c>
      <x:c r="K23" s="51" t="n">
        <x:f>H23*I23</x:f>
        <x:v>270</x:v>
      </x:c>
      <x:c r="L23" s="51" t="n">
        <x:f>ABS(J23*K23)</x:f>
        <x:v>534154.5</x:v>
      </x:c>
      <x:c r="M23" s="49" t="n">
        <x:f>VLOOKUP(D23,Supuestos!$A$12:$F$15,4,FALSE)</x:f>
        <x:v>0.18</x:v>
      </x:c>
      <x:c r="N23" s="49" t="n">
        <x:f>VLOOKUP(D23,Supuestos!$A$12:$F$15,6,FALSE)</x:f>
        <x:v>0.03</x:v>
      </x:c>
      <x:c r="O23" s="52" t="n">
        <x:f>J23*(1+M23)</x:f>
        <x:v>2334.453</x:v>
      </x:c>
      <x:c r="P23" s="51" t="n">
        <x:f>K23*(1+N23)</x:f>
        <x:v>278.1</x:v>
      </x:c>
      <x:c r="Q23" s="51" t="n">
        <x:f>ABS(O23*P23)</x:f>
        <x:v>649211.3793</x:v>
      </x:c>
      <x:c r="R23" s="51" t="n">
        <x:f>Q23-L23</x:f>
        <x:v>115056.87930000003</x:v>
      </x:c>
      <x:c r="S23" s="51" t="n">
        <x:f>(O23-J23)*K23</x:f>
        <x:v>96147.80999999995</x:v>
      </x:c>
      <x:c r="T23" s="51" t="n">
        <x:f>J23*(P23-K23)</x:f>
        <x:v>16024.635000000046</x:v>
      </x:c>
      <x:c r="U23" s="51" t="n">
        <x:f>(O23-J23)*(P23-K23)</x:f>
        <x:v>2884.4343000000067</x:v>
      </x:c>
      <x:c r="V23" s="51" t="n">
        <x:f>ROUND(R23-SUM(S23:U23),2)</x:f>
        <x:v>0</x:v>
      </x:c>
    </x:row>
    <x:row r="24">
      <x:c r="A24" s="13" t="n">
        <x:v>2025</x:v>
      </x:c>
      <x:c r="B24" s="13" t="str">
        <x:v>Base</x:v>
      </x:c>
      <x:c r="C24" s="13" t="str">
        <x:v>Depósito</x:v>
      </x:c>
      <x:c r="D24" s="13" t="str">
        <x:v>Banca web</x:v>
      </x:c>
      <x:c r="E24" s="13" t="n">
        <x:v>1</x:v>
      </x:c>
      <x:c r="F24" s="49" t="n">
        <x:f>VLOOKUP(D24,Supuestos!$A$12:$F$15,3,FALSE)</x:f>
        <x:v>0.3</x:v>
      </x:c>
      <x:c r="G24" s="50" t="n">
        <x:f>SUMIFS(Fuente!$C$6:$C$37,Fuente!$A$6:$A$37,C24,Fuente!$B$6:$B$37,E24)</x:f>
        <x:v>3597</x:v>
      </x:c>
      <x:c r="H24" s="51" t="n">
        <x:f>VLOOKUP(C24,Supuestos!$A$22:$B$37,2,FALSE)</x:f>
        <x:v>300</x:v>
      </x:c>
      <x:c r="I24" s="51" t="n">
        <x:f>VLOOKUP(D24,Supuestos!$A$12:$F$15,5,FALSE)</x:f>
        <x:v>1.15</x:v>
      </x:c>
      <x:c r="J24" s="52" t="n">
        <x:f>G24*IF(E24=1,F24,1)</x:f>
        <x:v>1079.1</x:v>
      </x:c>
      <x:c r="K24" s="51" t="n">
        <x:f>H24*I24</x:f>
        <x:v>345</x:v>
      </x:c>
      <x:c r="L24" s="51" t="n">
        <x:f>ABS(J24*K24)</x:f>
        <x:v>372289.49999999994</x:v>
      </x:c>
      <x:c r="M24" s="49" t="n">
        <x:f>VLOOKUP(D24,Supuestos!$A$12:$F$15,4,FALSE)</x:f>
        <x:v>0.1</x:v>
      </x:c>
      <x:c r="N24" s="49" t="n">
        <x:f>VLOOKUP(D24,Supuestos!$A$12:$F$15,6,FALSE)</x:f>
        <x:v>0.02</x:v>
      </x:c>
      <x:c r="O24" s="52" t="n">
        <x:f>J24*(1+M24)</x:f>
        <x:v>1187.01</x:v>
      </x:c>
      <x:c r="P24" s="51" t="n">
        <x:f>K24*(1+N24)</x:f>
        <x:v>351.90000000000003</x:v>
      </x:c>
      <x:c r="Q24" s="51" t="n">
        <x:f>ABS(O24*P24)</x:f>
        <x:v>417708.819</x:v>
      </x:c>
      <x:c r="R24" s="51" t="n">
        <x:f>Q24-L24</x:f>
        <x:v>45419.319000000076</x:v>
      </x:c>
      <x:c r="S24" s="51" t="n">
        <x:f>(O24-J24)*K24</x:f>
        <x:v>37228.950000000026</x:v>
      </x:c>
      <x:c r="T24" s="51" t="n">
        <x:f>J24*(P24-K24)</x:f>
        <x:v>7445.790000000036</x:v>
      </x:c>
      <x:c r="U24" s="51" t="n">
        <x:f>(O24-J24)*(P24-K24)</x:f>
        <x:v>744.5790000000043</x:v>
      </x:c>
      <x:c r="V24" s="51" t="n">
        <x:f>ROUND(R24-SUM(S24:U24),2)</x:f>
        <x:v>0</x:v>
      </x:c>
    </x:row>
    <x:row r="25">
      <x:c r="A25" s="13" t="n">
        <x:v>2025</x:v>
      </x:c>
      <x:c r="B25" s="13" t="str">
        <x:v>Base</x:v>
      </x:c>
      <x:c r="C25" s="13" t="str">
        <x:v>Depósito</x:v>
      </x:c>
      <x:c r="D25" s="13" t="str">
        <x:v>ATM</x:v>
      </x:c>
      <x:c r="E25" s="13" t="n">
        <x:v>1</x:v>
      </x:c>
      <x:c r="F25" s="49" t="n">
        <x:f>VLOOKUP(D25,Supuestos!$A$12:$F$15,3,FALSE)</x:f>
        <x:v>0.15</x:v>
      </x:c>
      <x:c r="G25" s="50" t="n">
        <x:f>SUMIFS(Fuente!$C$6:$C$37,Fuente!$A$6:$A$37,C25,Fuente!$B$6:$B$37,E25)</x:f>
        <x:v>3597</x:v>
      </x:c>
      <x:c r="H25" s="51" t="n">
        <x:f>VLOOKUP(C25,Supuestos!$A$22:$B$37,2,FALSE)</x:f>
        <x:v>300</x:v>
      </x:c>
      <x:c r="I25" s="51" t="n">
        <x:f>VLOOKUP(D25,Supuestos!$A$12:$F$15,5,FALSE)</x:f>
        <x:v>0.75</x:v>
      </x:c>
      <x:c r="J25" s="52" t="n">
        <x:f>G25*IF(E25=1,F25,1)</x:f>
        <x:v>539.55</x:v>
      </x:c>
      <x:c r="K25" s="51" t="n">
        <x:f>H25*I25</x:f>
        <x:v>225</x:v>
      </x:c>
      <x:c r="L25" s="51" t="n">
        <x:f>ABS(J25*K25)</x:f>
        <x:v>121398.74999999999</x:v>
      </x:c>
      <x:c r="M25" s="49" t="n">
        <x:f>VLOOKUP(D25,Supuestos!$A$12:$F$15,4,FALSE)</x:f>
        <x:v>0.04</x:v>
      </x:c>
      <x:c r="N25" s="49" t="n">
        <x:f>VLOOKUP(D25,Supuestos!$A$12:$F$15,6,FALSE)</x:f>
        <x:v>0.01</x:v>
      </x:c>
      <x:c r="O25" s="52" t="n">
        <x:f>J25*(1+M25)</x:f>
        <x:v>561.132</x:v>
      </x:c>
      <x:c r="P25" s="51" t="n">
        <x:f>K25*(1+N25)</x:f>
        <x:v>227.25</x:v>
      </x:c>
      <x:c r="Q25" s="51" t="n">
        <x:f>ABS(O25*P25)</x:f>
        <x:v>127517.24699999999</x:v>
      </x:c>
      <x:c r="R25" s="51" t="n">
        <x:f>Q25-L25</x:f>
        <x:v>6118.497000000003</x:v>
      </x:c>
      <x:c r="S25" s="51" t="n">
        <x:f>(O25-J25)*K25</x:f>
        <x:v>4855.949999999999</x:v>
      </x:c>
      <x:c r="T25" s="51" t="n">
        <x:f>J25*(P25-K25)</x:f>
        <x:v>1213.9875</x:v>
      </x:c>
      <x:c r="U25" s="51" t="n">
        <x:f>(O25-J25)*(P25-K25)</x:f>
        <x:v>48.559499999999986</x:v>
      </x:c>
      <x:c r="V25" s="51" t="n">
        <x:f>ROUND(R25-SUM(S25:U25),2)</x:f>
        <x:v>0</x:v>
      </x:c>
    </x:row>
    <x:row r="26">
      <x:c r="A26" s="13" t="n">
        <x:v>2025</x:v>
      </x:c>
      <x:c r="B26" s="13" t="str">
        <x:v>Base</x:v>
      </x:c>
      <x:c r="C26" s="13" t="str">
        <x:v>Desembolso</x:v>
      </x:c>
      <x:c r="D26" s="13" t="str">
        <x:v>Sucursal</x:v>
      </x:c>
      <x:c r="E26" s="13" t="n">
        <x:v>0</x:v>
      </x:c>
      <x:c r="F26" s="49" t="n">
        <x:f>VLOOKUP(D26,Supuestos!$A$12:$F$15,3,FALSE)</x:f>
        <x:v>0</x:v>
      </x:c>
      <x:c r="G26" s="50" t="n">
        <x:f>SUMIFS(Fuente!$C$6:$C$37,Fuente!$A$6:$A$37,C26,Fuente!$B$6:$B$37,E26)</x:f>
        <x:v>1136</x:v>
      </x:c>
      <x:c r="H26" s="51" t="n">
        <x:f>VLOOKUP(C26,Supuestos!$A$22:$B$37,2,FALSE)</x:f>
        <x:v>1200</x:v>
      </x:c>
      <x:c r="I26" s="51" t="n">
        <x:f>VLOOKUP(D26,Supuestos!$A$12:$F$15,5,FALSE)</x:f>
        <x:v>1</x:v>
      </x:c>
      <x:c r="J26" s="52" t="n">
        <x:f>G26*IF(E26=1,F26,1)</x:f>
        <x:v>1136</x:v>
      </x:c>
      <x:c r="K26" s="51" t="n">
        <x:f>H26*I26</x:f>
        <x:v>1200</x:v>
      </x:c>
      <x:c r="L26" s="51" t="n">
        <x:f>ABS(J26*K26)</x:f>
        <x:v>1363200</x:v>
      </x:c>
      <x:c r="M26" s="49" t="n">
        <x:f>VLOOKUP(D26,Supuestos!$A$12:$F$15,4,FALSE)</x:f>
        <x:v>-0.08</x:v>
      </x:c>
      <x:c r="N26" s="49" t="n">
        <x:f>VLOOKUP(D26,Supuestos!$A$12:$F$15,6,FALSE)</x:f>
        <x:v>0.01</x:v>
      </x:c>
      <x:c r="O26" s="52" t="n">
        <x:f>J26*(1+M26)</x:f>
        <x:v>1045.1200000000001</x:v>
      </x:c>
      <x:c r="P26" s="51" t="n">
        <x:f>K26*(1+N26)</x:f>
        <x:v>1212</x:v>
      </x:c>
      <x:c r="Q26" s="51" t="n">
        <x:f>ABS(O26*P26)</x:f>
        <x:v>1266685.4400000002</x:v>
      </x:c>
      <x:c r="R26" s="51" t="n">
        <x:f>Q26-L26</x:f>
        <x:v>-96514.55999999982</x:v>
      </x:c>
      <x:c r="S26" s="51" t="n">
        <x:f>(O26-J26)*K26</x:f>
        <x:v>-109055.99999999985</x:v>
      </x:c>
      <x:c r="T26" s="51" t="n">
        <x:f>J26*(P26-K26)</x:f>
        <x:v>13632</x:v>
      </x:c>
      <x:c r="U26" s="51" t="n">
        <x:f>(O26-J26)*(P26-K26)</x:f>
        <x:v>-1090.5599999999986</x:v>
      </x:c>
      <x:c r="V26" s="51" t="n">
        <x:f>ROUND(R26-SUM(S26:U26),2)</x:f>
        <x:v>0</x:v>
      </x:c>
    </x:row>
    <x:row r="27">
      <x:c r="A27" s="13" t="n">
        <x:v>2025</x:v>
      </x:c>
      <x:c r="B27" s="13" t="str">
        <x:v>Base</x:v>
      </x:c>
      <x:c r="C27" s="13" t="str">
        <x:v>Desembolso</x:v>
      </x:c>
      <x:c r="D27" s="13" t="str">
        <x:v>App móvil</x:v>
      </x:c>
      <x:c r="E27" s="13" t="n">
        <x:v>1</x:v>
      </x:c>
      <x:c r="F27" s="49" t="n">
        <x:f>VLOOKUP(D27,Supuestos!$A$12:$F$15,3,FALSE)</x:f>
        <x:v>0.55</x:v>
      </x:c>
      <x:c r="G27" s="50" t="n">
        <x:f>SUMIFS(Fuente!$C$6:$C$37,Fuente!$A$6:$A$37,C27,Fuente!$B$6:$B$37,E27)</x:f>
        <x:v>3510</x:v>
      </x:c>
      <x:c r="H27" s="51" t="n">
        <x:f>VLOOKUP(C27,Supuestos!$A$22:$B$37,2,FALSE)</x:f>
        <x:v>1200</x:v>
      </x:c>
      <x:c r="I27" s="51" t="n">
        <x:f>VLOOKUP(D27,Supuestos!$A$12:$F$15,5,FALSE)</x:f>
        <x:v>0.9</x:v>
      </x:c>
      <x:c r="J27" s="52" t="n">
        <x:f>G27*IF(E27=1,F27,1)</x:f>
        <x:v>1930.5000000000002</x:v>
      </x:c>
      <x:c r="K27" s="51" t="n">
        <x:f>H27*I27</x:f>
        <x:v>1080</x:v>
      </x:c>
      <x:c r="L27" s="51" t="n">
        <x:f>ABS(J27*K27)</x:f>
        <x:v>2084940.0000000002</x:v>
      </x:c>
      <x:c r="M27" s="49" t="n">
        <x:f>VLOOKUP(D27,Supuestos!$A$12:$F$15,4,FALSE)</x:f>
        <x:v>0.18</x:v>
      </x:c>
      <x:c r="N27" s="49" t="n">
        <x:f>VLOOKUP(D27,Supuestos!$A$12:$F$15,6,FALSE)</x:f>
        <x:v>0.03</x:v>
      </x:c>
      <x:c r="O27" s="52" t="n">
        <x:f>J27*(1+M27)</x:f>
        <x:v>2277.9900000000002</x:v>
      </x:c>
      <x:c r="P27" s="51" t="n">
        <x:f>K27*(1+N27)</x:f>
        <x:v>1112.4</x:v>
      </x:c>
      <x:c r="Q27" s="51" t="n">
        <x:f>ABS(O27*P27)</x:f>
        <x:v>2534036.0760000004</x:v>
      </x:c>
      <x:c r="R27" s="51" t="n">
        <x:f>Q27-L27</x:f>
        <x:v>449096.0760000001</x:v>
      </x:c>
      <x:c r="S27" s="51" t="n">
        <x:f>(O27-J27)*K27</x:f>
        <x:v>375289.2</x:v>
      </x:c>
      <x:c r="T27" s="51" t="n">
        <x:f>J27*(P27-K27)</x:f>
        <x:v>62548.200000000186</x:v>
      </x:c>
      <x:c r="U27" s="51" t="n">
        <x:f>(O27-J27)*(P27-K27)</x:f>
        <x:v>11258.676000000032</x:v>
      </x:c>
      <x:c r="V27" s="51" t="n">
        <x:f>ROUND(R27-SUM(S27:U27),2)</x:f>
        <x:v>0</x:v>
      </x:c>
    </x:row>
    <x:row r="28">
      <x:c r="A28" s="13" t="n">
        <x:v>2025</x:v>
      </x:c>
      <x:c r="B28" s="13" t="str">
        <x:v>Base</x:v>
      </x:c>
      <x:c r="C28" s="13" t="str">
        <x:v>Desembolso</x:v>
      </x:c>
      <x:c r="D28" s="13" t="str">
        <x:v>Banca web</x:v>
      </x:c>
      <x:c r="E28" s="13" t="n">
        <x:v>1</x:v>
      </x:c>
      <x:c r="F28" s="49" t="n">
        <x:f>VLOOKUP(D28,Supuestos!$A$12:$F$15,3,FALSE)</x:f>
        <x:v>0.3</x:v>
      </x:c>
      <x:c r="G28" s="50" t="n">
        <x:f>SUMIFS(Fuente!$C$6:$C$37,Fuente!$A$6:$A$37,C28,Fuente!$B$6:$B$37,E28)</x:f>
        <x:v>3510</x:v>
      </x:c>
      <x:c r="H28" s="51" t="n">
        <x:f>VLOOKUP(C28,Supuestos!$A$22:$B$37,2,FALSE)</x:f>
        <x:v>1200</x:v>
      </x:c>
      <x:c r="I28" s="51" t="n">
        <x:f>VLOOKUP(D28,Supuestos!$A$12:$F$15,5,FALSE)</x:f>
        <x:v>1.15</x:v>
      </x:c>
      <x:c r="J28" s="52" t="n">
        <x:f>G28*IF(E28=1,F28,1)</x:f>
        <x:v>1053</x:v>
      </x:c>
      <x:c r="K28" s="51" t="n">
        <x:f>H28*I28</x:f>
        <x:v>1380</x:v>
      </x:c>
      <x:c r="L28" s="51" t="n">
        <x:f>ABS(J28*K28)</x:f>
        <x:v>1453140</x:v>
      </x:c>
      <x:c r="M28" s="49" t="n">
        <x:f>VLOOKUP(D28,Supuestos!$A$12:$F$15,4,FALSE)</x:f>
        <x:v>0.1</x:v>
      </x:c>
      <x:c r="N28" s="49" t="n">
        <x:f>VLOOKUP(D28,Supuestos!$A$12:$F$15,6,FALSE)</x:f>
        <x:v>0.02</x:v>
      </x:c>
      <x:c r="O28" s="52" t="n">
        <x:f>J28*(1+M28)</x:f>
        <x:v>1158.3000000000002</x:v>
      </x:c>
      <x:c r="P28" s="51" t="n">
        <x:f>K28*(1+N28)</x:f>
        <x:v>1407.6000000000001</x:v>
      </x:c>
      <x:c r="Q28" s="51" t="n">
        <x:f>ABS(O28*P28)</x:f>
        <x:v>1630423.0800000003</x:v>
      </x:c>
      <x:c r="R28" s="51" t="n">
        <x:f>Q28-L28</x:f>
        <x:v>177283.0800000003</x:v>
      </x:c>
      <x:c r="S28" s="51" t="n">
        <x:f>(O28-J28)*K28</x:f>
        <x:v>145314.00000000026</x:v>
      </x:c>
      <x:c r="T28" s="51" t="n">
        <x:f>J28*(P28-K28)</x:f>
        <x:v>29062.800000000145</x:v>
      </x:c>
      <x:c r="U28" s="51" t="n">
        <x:f>(O28-J28)*(P28-K28)</x:f>
        <x:v>2906.2800000000193</x:v>
      </x:c>
      <x:c r="V28" s="51" t="n">
        <x:f>ROUND(R28-SUM(S28:U28),2)</x:f>
        <x:v>0</x:v>
      </x:c>
    </x:row>
    <x:row r="29">
      <x:c r="A29" s="13" t="n">
        <x:v>2025</x:v>
      </x:c>
      <x:c r="B29" s="13" t="str">
        <x:v>Base</x:v>
      </x:c>
      <x:c r="C29" s="13" t="str">
        <x:v>Desembolso</x:v>
      </x:c>
      <x:c r="D29" s="13" t="str">
        <x:v>ATM</x:v>
      </x:c>
      <x:c r="E29" s="13" t="n">
        <x:v>1</x:v>
      </x:c>
      <x:c r="F29" s="49" t="n">
        <x:f>VLOOKUP(D29,Supuestos!$A$12:$F$15,3,FALSE)</x:f>
        <x:v>0.15</x:v>
      </x:c>
      <x:c r="G29" s="50" t="n">
        <x:f>SUMIFS(Fuente!$C$6:$C$37,Fuente!$A$6:$A$37,C29,Fuente!$B$6:$B$37,E29)</x:f>
        <x:v>3510</x:v>
      </x:c>
      <x:c r="H29" s="51" t="n">
        <x:f>VLOOKUP(C29,Supuestos!$A$22:$B$37,2,FALSE)</x:f>
        <x:v>1200</x:v>
      </x:c>
      <x:c r="I29" s="51" t="n">
        <x:f>VLOOKUP(D29,Supuestos!$A$12:$F$15,5,FALSE)</x:f>
        <x:v>0.75</x:v>
      </x:c>
      <x:c r="J29" s="52" t="n">
        <x:f>G29*IF(E29=1,F29,1)</x:f>
        <x:v>526.5</x:v>
      </x:c>
      <x:c r="K29" s="51" t="n">
        <x:f>H29*I29</x:f>
        <x:v>900</x:v>
      </x:c>
      <x:c r="L29" s="51" t="n">
        <x:f>ABS(J29*K29)</x:f>
        <x:v>473850</x:v>
      </x:c>
      <x:c r="M29" s="49" t="n">
        <x:f>VLOOKUP(D29,Supuestos!$A$12:$F$15,4,FALSE)</x:f>
        <x:v>0.04</x:v>
      </x:c>
      <x:c r="N29" s="49" t="n">
        <x:f>VLOOKUP(D29,Supuestos!$A$12:$F$15,6,FALSE)</x:f>
        <x:v>0.01</x:v>
      </x:c>
      <x:c r="O29" s="52" t="n">
        <x:f>J29*(1+M29)</x:f>
        <x:v>547.5600000000001</x:v>
      </x:c>
      <x:c r="P29" s="51" t="n">
        <x:f>K29*(1+N29)</x:f>
        <x:v>909</x:v>
      </x:c>
      <x:c r="Q29" s="51" t="n">
        <x:f>ABS(O29*P29)</x:f>
        <x:v>497732.04000000004</x:v>
      </x:c>
      <x:c r="R29" s="51" t="n">
        <x:f>Q29-L29</x:f>
        <x:v>23882.040000000037</x:v>
      </x:c>
      <x:c r="S29" s="51" t="n">
        <x:f>(O29-J29)*K29</x:f>
        <x:v>18954.000000000055</x:v>
      </x:c>
      <x:c r="T29" s="51" t="n">
        <x:f>J29*(P29-K29)</x:f>
        <x:v>4738.5</x:v>
      </x:c>
      <x:c r="U29" s="51" t="n">
        <x:f>(O29-J29)*(P29-K29)</x:f>
        <x:v>189.54000000000053</x:v>
      </x:c>
      <x:c r="V29" s="51" t="n">
        <x:f>ROUND(R29-SUM(S29:U29),2)</x:f>
        <x:v>0</x:v>
      </x:c>
    </x:row>
    <x:row r="30">
      <x:c r="A30" s="13" t="n">
        <x:v>2025</x:v>
      </x:c>
      <x:c r="B30" s="13" t="str">
        <x:v>Base</x:v>
      </x:c>
      <x:c r="C30" s="13" t="str">
        <x:v>Indemnización</x:v>
      </x:c>
      <x:c r="D30" s="13" t="str">
        <x:v>Sucursal</x:v>
      </x:c>
      <x:c r="E30" s="13" t="n">
        <x:v>0</x:v>
      </x:c>
      <x:c r="F30" s="49" t="n">
        <x:f>VLOOKUP(D30,Supuestos!$A$12:$F$15,3,FALSE)</x:f>
        <x:v>0</x:v>
      </x:c>
      <x:c r="G30" s="50" t="n">
        <x:f>SUMIFS(Fuente!$C$6:$C$37,Fuente!$A$6:$A$37,C30,Fuente!$B$6:$B$37,E30)</x:f>
        <x:v>643</x:v>
      </x:c>
      <x:c r="H30" s="51" t="n">
        <x:f>VLOOKUP(C30,Supuestos!$A$22:$B$37,2,FALSE)</x:f>
        <x:v>1500</x:v>
      </x:c>
      <x:c r="I30" s="51" t="n">
        <x:f>VLOOKUP(D30,Supuestos!$A$12:$F$15,5,FALSE)</x:f>
        <x:v>1</x:v>
      </x:c>
      <x:c r="J30" s="52" t="n">
        <x:f>G30*IF(E30=1,F30,1)</x:f>
        <x:v>643</x:v>
      </x:c>
      <x:c r="K30" s="51" t="n">
        <x:f>H30*I30</x:f>
        <x:v>1500</x:v>
      </x:c>
      <x:c r="L30" s="51" t="n">
        <x:f>ABS(J30*K30)</x:f>
        <x:v>964500</x:v>
      </x:c>
      <x:c r="M30" s="49" t="n">
        <x:f>VLOOKUP(D30,Supuestos!$A$12:$F$15,4,FALSE)</x:f>
        <x:v>-0.08</x:v>
      </x:c>
      <x:c r="N30" s="49" t="n">
        <x:f>VLOOKUP(D30,Supuestos!$A$12:$F$15,6,FALSE)</x:f>
        <x:v>0.01</x:v>
      </x:c>
      <x:c r="O30" s="52" t="n">
        <x:f>J30*(1+M30)</x:f>
        <x:v>591.5600000000001</x:v>
      </x:c>
      <x:c r="P30" s="51" t="n">
        <x:f>K30*(1+N30)</x:f>
        <x:v>1515</x:v>
      </x:c>
      <x:c r="Q30" s="51" t="n">
        <x:f>ABS(O30*P30)</x:f>
        <x:v>896213.4000000001</x:v>
      </x:c>
      <x:c r="R30" s="51" t="n">
        <x:f>Q30-L30</x:f>
        <x:v>-68286.59999999986</x:v>
      </x:c>
      <x:c r="S30" s="51" t="n">
        <x:f>(O30-J30)*K30</x:f>
        <x:v>-77159.99999999991</x:v>
      </x:c>
      <x:c r="T30" s="51" t="n">
        <x:f>J30*(P30-K30)</x:f>
        <x:v>9645</x:v>
      </x:c>
      <x:c r="U30" s="51" t="n">
        <x:f>(O30-J30)*(P30-K30)</x:f>
        <x:v>-771.5999999999991</x:v>
      </x:c>
      <x:c r="V30" s="51" t="n">
        <x:f>ROUND(R30-SUM(S30:U30),2)</x:f>
        <x:v>0</x:v>
      </x:c>
    </x:row>
    <x:row r="31">
      <x:c r="A31" s="13" t="n">
        <x:v>2025</x:v>
      </x:c>
      <x:c r="B31" s="13" t="str">
        <x:v>Base</x:v>
      </x:c>
      <x:c r="C31" s="13" t="str">
        <x:v>Indemnización</x:v>
      </x:c>
      <x:c r="D31" s="13" t="str">
        <x:v>App móvil</x:v>
      </x:c>
      <x:c r="E31" s="13" t="n">
        <x:v>1</x:v>
      </x:c>
      <x:c r="F31" s="49" t="n">
        <x:f>VLOOKUP(D31,Supuestos!$A$12:$F$15,3,FALSE)</x:f>
        <x:v>0.55</x:v>
      </x:c>
      <x:c r="G31" s="50" t="n">
        <x:f>SUMIFS(Fuente!$C$6:$C$37,Fuente!$A$6:$A$37,C31,Fuente!$B$6:$B$37,E31)</x:f>
        <x:v>1810</x:v>
      </x:c>
      <x:c r="H31" s="51" t="n">
        <x:f>VLOOKUP(C31,Supuestos!$A$22:$B$37,2,FALSE)</x:f>
        <x:v>1500</x:v>
      </x:c>
      <x:c r="I31" s="51" t="n">
        <x:f>VLOOKUP(D31,Supuestos!$A$12:$F$15,5,FALSE)</x:f>
        <x:v>0.9</x:v>
      </x:c>
      <x:c r="J31" s="52" t="n">
        <x:f>G31*IF(E31=1,F31,1)</x:f>
        <x:v>995.5000000000001</x:v>
      </x:c>
      <x:c r="K31" s="51" t="n">
        <x:f>H31*I31</x:f>
        <x:v>1350</x:v>
      </x:c>
      <x:c r="L31" s="51" t="n">
        <x:f>ABS(J31*K31)</x:f>
        <x:v>1343925.0000000002</x:v>
      </x:c>
      <x:c r="M31" s="49" t="n">
        <x:f>VLOOKUP(D31,Supuestos!$A$12:$F$15,4,FALSE)</x:f>
        <x:v>0.18</x:v>
      </x:c>
      <x:c r="N31" s="49" t="n">
        <x:f>VLOOKUP(D31,Supuestos!$A$12:$F$15,6,FALSE)</x:f>
        <x:v>0.03</x:v>
      </x:c>
      <x:c r="O31" s="52" t="n">
        <x:f>J31*(1+M31)</x:f>
        <x:v>1174.69</x:v>
      </x:c>
      <x:c r="P31" s="51" t="n">
        <x:f>K31*(1+N31)</x:f>
        <x:v>1390.5</x:v>
      </x:c>
      <x:c r="Q31" s="51" t="n">
        <x:f>ABS(O31*P31)</x:f>
        <x:v>1633406.445</x:v>
      </x:c>
      <x:c r="R31" s="51" t="n">
        <x:f>Q31-L31</x:f>
        <x:v>289481.44499999983</x:v>
      </x:c>
      <x:c r="S31" s="51" t="n">
        <x:f>(O31-J31)*K31</x:f>
        <x:v>241906.4999999999</x:v>
      </x:c>
      <x:c r="T31" s="51" t="n">
        <x:f>J31*(P31-K31)</x:f>
        <x:v>40317.75000000001</x:v>
      </x:c>
      <x:c r="U31" s="51" t="n">
        <x:f>(O31-J31)*(P31-K31)</x:f>
        <x:v>7257.194999999998</x:v>
      </x:c>
      <x:c r="V31" s="51" t="n">
        <x:f>ROUND(R31-SUM(S31:U31),2)</x:f>
        <x:v>0</x:v>
      </x:c>
    </x:row>
    <x:row r="32">
      <x:c r="A32" s="13" t="n">
        <x:v>2025</x:v>
      </x:c>
      <x:c r="B32" s="13" t="str">
        <x:v>Base</x:v>
      </x:c>
      <x:c r="C32" s="13" t="str">
        <x:v>Indemnización</x:v>
      </x:c>
      <x:c r="D32" s="13" t="str">
        <x:v>Banca web</x:v>
      </x:c>
      <x:c r="E32" s="13" t="n">
        <x:v>1</x:v>
      </x:c>
      <x:c r="F32" s="49" t="n">
        <x:f>VLOOKUP(D32,Supuestos!$A$12:$F$15,3,FALSE)</x:f>
        <x:v>0.3</x:v>
      </x:c>
      <x:c r="G32" s="50" t="n">
        <x:f>SUMIFS(Fuente!$C$6:$C$37,Fuente!$A$6:$A$37,C32,Fuente!$B$6:$B$37,E32)</x:f>
        <x:v>1810</x:v>
      </x:c>
      <x:c r="H32" s="51" t="n">
        <x:f>VLOOKUP(C32,Supuestos!$A$22:$B$37,2,FALSE)</x:f>
        <x:v>1500</x:v>
      </x:c>
      <x:c r="I32" s="51" t="n">
        <x:f>VLOOKUP(D32,Supuestos!$A$12:$F$15,5,FALSE)</x:f>
        <x:v>1.15</x:v>
      </x:c>
      <x:c r="J32" s="52" t="n">
        <x:f>G32*IF(E32=1,F32,1)</x:f>
        <x:v>543</x:v>
      </x:c>
      <x:c r="K32" s="51" t="n">
        <x:f>H32*I32</x:f>
        <x:v>1724.9999999999998</x:v>
      </x:c>
      <x:c r="L32" s="51" t="n">
        <x:f>ABS(J32*K32)</x:f>
        <x:v>936674.9999999999</x:v>
      </x:c>
      <x:c r="M32" s="49" t="n">
        <x:f>VLOOKUP(D32,Supuestos!$A$12:$F$15,4,FALSE)</x:f>
        <x:v>0.1</x:v>
      </x:c>
      <x:c r="N32" s="49" t="n">
        <x:f>VLOOKUP(D32,Supuestos!$A$12:$F$15,6,FALSE)</x:f>
        <x:v>0.02</x:v>
      </x:c>
      <x:c r="O32" s="52" t="n">
        <x:f>J32*(1+M32)</x:f>
        <x:v>597.3000000000001</x:v>
      </x:c>
      <x:c r="P32" s="51" t="n">
        <x:f>K32*(1+N32)</x:f>
        <x:v>1759.4999999999998</x:v>
      </x:c>
      <x:c r="Q32" s="51" t="n">
        <x:f>ABS(O32*P32)</x:f>
        <x:v>1050949.35</x:v>
      </x:c>
      <x:c r="R32" s="51" t="n">
        <x:f>Q32-L32</x:f>
        <x:v>114274.35000000021</x:v>
      </x:c>
      <x:c r="S32" s="51" t="n">
        <x:f>(O32-J32)*K32</x:f>
        <x:v>93667.5000000001</x:v>
      </x:c>
      <x:c r="T32" s="51" t="n">
        <x:f>J32*(P32-K32)</x:f>
        <x:v>18733.5</x:v>
      </x:c>
      <x:c r="U32" s="51" t="n">
        <x:f>(O32-J32)*(P32-K32)</x:f>
        <x:v>1873.3500000000024</x:v>
      </x:c>
      <x:c r="V32" s="51" t="n">
        <x:f>ROUND(R32-SUM(S32:U32),2)</x:f>
        <x:v>0</x:v>
      </x:c>
    </x:row>
    <x:row r="33">
      <x:c r="A33" s="13" t="n">
        <x:v>2025</x:v>
      </x:c>
      <x:c r="B33" s="13" t="str">
        <x:v>Base</x:v>
      </x:c>
      <x:c r="C33" s="13" t="str">
        <x:v>Indemnización</x:v>
      </x:c>
      <x:c r="D33" s="13" t="str">
        <x:v>ATM</x:v>
      </x:c>
      <x:c r="E33" s="13" t="n">
        <x:v>1</x:v>
      </x:c>
      <x:c r="F33" s="49" t="n">
        <x:f>VLOOKUP(D33,Supuestos!$A$12:$F$15,3,FALSE)</x:f>
        <x:v>0.15</x:v>
      </x:c>
      <x:c r="G33" s="50" t="n">
        <x:f>SUMIFS(Fuente!$C$6:$C$37,Fuente!$A$6:$A$37,C33,Fuente!$B$6:$B$37,E33)</x:f>
        <x:v>1810</x:v>
      </x:c>
      <x:c r="H33" s="51" t="n">
        <x:f>VLOOKUP(C33,Supuestos!$A$22:$B$37,2,FALSE)</x:f>
        <x:v>1500</x:v>
      </x:c>
      <x:c r="I33" s="51" t="n">
        <x:f>VLOOKUP(D33,Supuestos!$A$12:$F$15,5,FALSE)</x:f>
        <x:v>0.75</x:v>
      </x:c>
      <x:c r="J33" s="52" t="n">
        <x:f>G33*IF(E33=1,F33,1)</x:f>
        <x:v>271.5</x:v>
      </x:c>
      <x:c r="K33" s="51" t="n">
        <x:f>H33*I33</x:f>
        <x:v>1125</x:v>
      </x:c>
      <x:c r="L33" s="51" t="n">
        <x:f>ABS(J33*K33)</x:f>
        <x:v>305437.5</x:v>
      </x:c>
      <x:c r="M33" s="49" t="n">
        <x:f>VLOOKUP(D33,Supuestos!$A$12:$F$15,4,FALSE)</x:f>
        <x:v>0.04</x:v>
      </x:c>
      <x:c r="N33" s="49" t="n">
        <x:f>VLOOKUP(D33,Supuestos!$A$12:$F$15,6,FALSE)</x:f>
        <x:v>0.01</x:v>
      </x:c>
      <x:c r="O33" s="52" t="n">
        <x:f>J33*(1+M33)</x:f>
        <x:v>282.36</x:v>
      </x:c>
      <x:c r="P33" s="51" t="n">
        <x:f>K33*(1+N33)</x:f>
        <x:v>1136.25</x:v>
      </x:c>
      <x:c r="Q33" s="51" t="n">
        <x:f>ABS(O33*P33)</x:f>
        <x:v>320831.55</x:v>
      </x:c>
      <x:c r="R33" s="51" t="n">
        <x:f>Q33-L33</x:f>
        <x:v>15394.049999999988</x:v>
      </x:c>
      <x:c r="S33" s="51" t="n">
        <x:f>(O33-J33)*K33</x:f>
        <x:v>12217.500000000015</x:v>
      </x:c>
      <x:c r="T33" s="51" t="n">
        <x:f>J33*(P33-K33)</x:f>
        <x:v>3054.375</x:v>
      </x:c>
      <x:c r="U33" s="51" t="n">
        <x:f>(O33-J33)*(P33-K33)</x:f>
        <x:v>122.17500000000015</x:v>
      </x:c>
      <x:c r="V33" s="51" t="n">
        <x:f>ROUND(R33-SUM(S33:U33),2)</x:f>
        <x:v>0</x:v>
      </x:c>
    </x:row>
    <x:row r="34">
      <x:c r="A34" s="13" t="n">
        <x:v>2025</x:v>
      </x:c>
      <x:c r="B34" s="13" t="str">
        <x:v>Base</x:v>
      </x:c>
      <x:c r="C34" s="13" t="str">
        <x:v>Pago de crédito</x:v>
      </x:c>
      <x:c r="D34" s="13" t="str">
        <x:v>Sucursal</x:v>
      </x:c>
      <x:c r="E34" s="13" t="n">
        <x:v>0</x:v>
      </x:c>
      <x:c r="F34" s="49" t="n">
        <x:f>VLOOKUP(D34,Supuestos!$A$12:$F$15,3,FALSE)</x:f>
        <x:v>0</x:v>
      </x:c>
      <x:c r="G34" s="50" t="n">
        <x:f>SUMIFS(Fuente!$C$6:$C$37,Fuente!$A$6:$A$37,C34,Fuente!$B$6:$B$37,E34)</x:f>
        <x:v>1180</x:v>
      </x:c>
      <x:c r="H34" s="51" t="n">
        <x:f>VLOOKUP(C34,Supuestos!$A$22:$B$37,2,FALSE)</x:f>
        <x:v>420</x:v>
      </x:c>
      <x:c r="I34" s="51" t="n">
        <x:f>VLOOKUP(D34,Supuestos!$A$12:$F$15,5,FALSE)</x:f>
        <x:v>1</x:v>
      </x:c>
      <x:c r="J34" s="52" t="n">
        <x:f>G34*IF(E34=1,F34,1)</x:f>
        <x:v>1180</x:v>
      </x:c>
      <x:c r="K34" s="51" t="n">
        <x:f>H34*I34</x:f>
        <x:v>420</x:v>
      </x:c>
      <x:c r="L34" s="51" t="n">
        <x:f>ABS(J34*K34)</x:f>
        <x:v>495600</x:v>
      </x:c>
      <x:c r="M34" s="49" t="n">
        <x:f>VLOOKUP(D34,Supuestos!$A$12:$F$15,4,FALSE)</x:f>
        <x:v>-0.08</x:v>
      </x:c>
      <x:c r="N34" s="49" t="n">
        <x:f>VLOOKUP(D34,Supuestos!$A$12:$F$15,6,FALSE)</x:f>
        <x:v>0.01</x:v>
      </x:c>
      <x:c r="O34" s="52" t="n">
        <x:f>J34*(1+M34)</x:f>
        <x:v>1085.6000000000001</x:v>
      </x:c>
      <x:c r="P34" s="51" t="n">
        <x:f>K34*(1+N34)</x:f>
        <x:v>424.2</x:v>
      </x:c>
      <x:c r="Q34" s="51" t="n">
        <x:f>ABS(O34*P34)</x:f>
        <x:v>460511.52</x:v>
      </x:c>
      <x:c r="R34" s="51" t="n">
        <x:f>Q34-L34</x:f>
        <x:v>-35088.47999999998</x:v>
      </x:c>
      <x:c r="S34" s="51" t="n">
        <x:f>(O34-J34)*K34</x:f>
        <x:v>-39647.99999999994</x:v>
      </x:c>
      <x:c r="T34" s="51" t="n">
        <x:f>J34*(P34-K34)</x:f>
        <x:v>4955.999999999986</x:v>
      </x:c>
      <x:c r="U34" s="51" t="n">
        <x:f>(O34-J34)*(P34-K34)</x:f>
        <x:v>-396.47999999999837</x:v>
      </x:c>
      <x:c r="V34" s="51" t="n">
        <x:f>ROUND(R34-SUM(S34:U34),2)</x:f>
        <x:v>0</x:v>
      </x:c>
    </x:row>
    <x:row r="35">
      <x:c r="A35" s="13" t="n">
        <x:v>2025</x:v>
      </x:c>
      <x:c r="B35" s="13" t="str">
        <x:v>Base</x:v>
      </x:c>
      <x:c r="C35" s="13" t="str">
        <x:v>Pago de crédito</x:v>
      </x:c>
      <x:c r="D35" s="13" t="str">
        <x:v>App móvil</x:v>
      </x:c>
      <x:c r="E35" s="13" t="n">
        <x:v>1</x:v>
      </x:c>
      <x:c r="F35" s="49" t="n">
        <x:f>VLOOKUP(D35,Supuestos!$A$12:$F$15,3,FALSE)</x:f>
        <x:v>0.55</x:v>
      </x:c>
      <x:c r="G35" s="50" t="n">
        <x:f>SUMIFS(Fuente!$C$6:$C$37,Fuente!$A$6:$A$37,C35,Fuente!$B$6:$B$37,E35)</x:f>
        <x:v>3599</x:v>
      </x:c>
      <x:c r="H35" s="51" t="n">
        <x:f>VLOOKUP(C35,Supuestos!$A$22:$B$37,2,FALSE)</x:f>
        <x:v>420</x:v>
      </x:c>
      <x:c r="I35" s="51" t="n">
        <x:f>VLOOKUP(D35,Supuestos!$A$12:$F$15,5,FALSE)</x:f>
        <x:v>0.9</x:v>
      </x:c>
      <x:c r="J35" s="52" t="n">
        <x:f>G35*IF(E35=1,F35,1)</x:f>
        <x:v>1979.4500000000003</x:v>
      </x:c>
      <x:c r="K35" s="51" t="n">
        <x:f>H35*I35</x:f>
        <x:v>378</x:v>
      </x:c>
      <x:c r="L35" s="51" t="n">
        <x:f>ABS(J35*K35)</x:f>
        <x:v>748232.1000000001</x:v>
      </x:c>
      <x:c r="M35" s="49" t="n">
        <x:f>VLOOKUP(D35,Supuestos!$A$12:$F$15,4,FALSE)</x:f>
        <x:v>0.18</x:v>
      </x:c>
      <x:c r="N35" s="49" t="n">
        <x:f>VLOOKUP(D35,Supuestos!$A$12:$F$15,6,FALSE)</x:f>
        <x:v>0.03</x:v>
      </x:c>
      <x:c r="O35" s="52" t="n">
        <x:f>J35*(1+M35)</x:f>
        <x:v>2335.751</x:v>
      </x:c>
      <x:c r="P35" s="51" t="n">
        <x:f>K35*(1+N35)</x:f>
        <x:v>389.34000000000003</x:v>
      </x:c>
      <x:c r="Q35" s="51" t="n">
        <x:f>ABS(O35*P35)</x:f>
        <x:v>909401.2943400001</x:v>
      </x:c>
      <x:c r="R35" s="51" t="n">
        <x:f>Q35-L35</x:f>
        <x:v>161169.19434000005</x:v>
      </x:c>
      <x:c r="S35" s="51" t="n">
        <x:f>(O35-J35)*K35</x:f>
        <x:v>134681.77799999996</x:v>
      </x:c>
      <x:c r="T35" s="51" t="n">
        <x:f>J35*(P35-K35)</x:f>
        <x:v>22446.963000000065</x:v>
      </x:c>
      <x:c r="U35" s="51" t="n">
        <x:f>(O35-J35)*(P35-K35)</x:f>
        <x:v>4040.4533400000105</x:v>
      </x:c>
      <x:c r="V35" s="51" t="n">
        <x:f>ROUND(R35-SUM(S35:U35),2)</x:f>
        <x:v>0</x:v>
      </x:c>
    </x:row>
    <x:row r="36">
      <x:c r="A36" s="13" t="n">
        <x:v>2025</x:v>
      </x:c>
      <x:c r="B36" s="13" t="str">
        <x:v>Base</x:v>
      </x:c>
      <x:c r="C36" s="13" t="str">
        <x:v>Pago de crédito</x:v>
      </x:c>
      <x:c r="D36" s="13" t="str">
        <x:v>Banca web</x:v>
      </x:c>
      <x:c r="E36" s="13" t="n">
        <x:v>1</x:v>
      </x:c>
      <x:c r="F36" s="49" t="n">
        <x:f>VLOOKUP(D36,Supuestos!$A$12:$F$15,3,FALSE)</x:f>
        <x:v>0.3</x:v>
      </x:c>
      <x:c r="G36" s="50" t="n">
        <x:f>SUMIFS(Fuente!$C$6:$C$37,Fuente!$A$6:$A$37,C36,Fuente!$B$6:$B$37,E36)</x:f>
        <x:v>3599</x:v>
      </x:c>
      <x:c r="H36" s="51" t="n">
        <x:f>VLOOKUP(C36,Supuestos!$A$22:$B$37,2,FALSE)</x:f>
        <x:v>420</x:v>
      </x:c>
      <x:c r="I36" s="51" t="n">
        <x:f>VLOOKUP(D36,Supuestos!$A$12:$F$15,5,FALSE)</x:f>
        <x:v>1.15</x:v>
      </x:c>
      <x:c r="J36" s="52" t="n">
        <x:f>G36*IF(E36=1,F36,1)</x:f>
        <x:v>1079.7</x:v>
      </x:c>
      <x:c r="K36" s="51" t="n">
        <x:f>H36*I36</x:f>
        <x:v>482.99999999999994</x:v>
      </x:c>
      <x:c r="L36" s="51" t="n">
        <x:f>ABS(J36*K36)</x:f>
        <x:v>521495.1</x:v>
      </x:c>
      <x:c r="M36" s="49" t="n">
        <x:f>VLOOKUP(D36,Supuestos!$A$12:$F$15,4,FALSE)</x:f>
        <x:v>0.1</x:v>
      </x:c>
      <x:c r="N36" s="49" t="n">
        <x:f>VLOOKUP(D36,Supuestos!$A$12:$F$15,6,FALSE)</x:f>
        <x:v>0.02</x:v>
      </x:c>
      <x:c r="O36" s="52" t="n">
        <x:f>J36*(1+M36)</x:f>
        <x:v>1187.67</x:v>
      </x:c>
      <x:c r="P36" s="51" t="n">
        <x:f>K36*(1+N36)</x:f>
        <x:v>492.65999999999997</x:v>
      </x:c>
      <x:c r="Q36" s="51" t="n">
        <x:f>ABS(O36*P36)</x:f>
        <x:v>585117.5022</x:v>
      </x:c>
      <x:c r="R36" s="51" t="n">
        <x:f>Q36-L36</x:f>
        <x:v>63622.40220000001</x:v>
      </x:c>
      <x:c r="S36" s="51" t="n">
        <x:f>(O36-J36)*K36</x:f>
        <x:v>52149.51000000001</x:v>
      </x:c>
      <x:c r="T36" s="51" t="n">
        <x:f>J36*(P36-K36)</x:f>
        <x:v>10429.902000000027</x:v>
      </x:c>
      <x:c r="U36" s="51" t="n">
        <x:f>(O36-J36)*(P36-K36)</x:f>
        <x:v>1042.990200000003</x:v>
      </x:c>
      <x:c r="V36" s="51" t="n">
        <x:f>ROUND(R36-SUM(S36:U36),2)</x:f>
        <x:v>0</x:v>
      </x:c>
    </x:row>
    <x:row r="37">
      <x:c r="A37" s="13" t="n">
        <x:v>2025</x:v>
      </x:c>
      <x:c r="B37" s="13" t="str">
        <x:v>Base</x:v>
      </x:c>
      <x:c r="C37" s="13" t="str">
        <x:v>Pago de crédito</x:v>
      </x:c>
      <x:c r="D37" s="13" t="str">
        <x:v>ATM</x:v>
      </x:c>
      <x:c r="E37" s="13" t="n">
        <x:v>1</x:v>
      </x:c>
      <x:c r="F37" s="49" t="n">
        <x:f>VLOOKUP(D37,Supuestos!$A$12:$F$15,3,FALSE)</x:f>
        <x:v>0.15</x:v>
      </x:c>
      <x:c r="G37" s="50" t="n">
        <x:f>SUMIFS(Fuente!$C$6:$C$37,Fuente!$A$6:$A$37,C37,Fuente!$B$6:$B$37,E37)</x:f>
        <x:v>3599</x:v>
      </x:c>
      <x:c r="H37" s="51" t="n">
        <x:f>VLOOKUP(C37,Supuestos!$A$22:$B$37,2,FALSE)</x:f>
        <x:v>420</x:v>
      </x:c>
      <x:c r="I37" s="51" t="n">
        <x:f>VLOOKUP(D37,Supuestos!$A$12:$F$15,5,FALSE)</x:f>
        <x:v>0.75</x:v>
      </x:c>
      <x:c r="J37" s="52" t="n">
        <x:f>G37*IF(E37=1,F37,1)</x:f>
        <x:v>539.85</x:v>
      </x:c>
      <x:c r="K37" s="51" t="n">
        <x:f>H37*I37</x:f>
        <x:v>315</x:v>
      </x:c>
      <x:c r="L37" s="51" t="n">
        <x:f>ABS(J37*K37)</x:f>
        <x:v>170052.75</x:v>
      </x:c>
      <x:c r="M37" s="49" t="n">
        <x:f>VLOOKUP(D37,Supuestos!$A$12:$F$15,4,FALSE)</x:f>
        <x:v>0.04</x:v>
      </x:c>
      <x:c r="N37" s="49" t="n">
        <x:f>VLOOKUP(D37,Supuestos!$A$12:$F$15,6,FALSE)</x:f>
        <x:v>0.01</x:v>
      </x:c>
      <x:c r="O37" s="52" t="n">
        <x:f>J37*(1+M37)</x:f>
        <x:v>561.4440000000001</x:v>
      </x:c>
      <x:c r="P37" s="51" t="n">
        <x:f>K37*(1+N37)</x:f>
        <x:v>318.15</x:v>
      </x:c>
      <x:c r="Q37" s="51" t="n">
        <x:f>ABS(O37*P37)</x:f>
        <x:v>178623.40860000002</x:v>
      </x:c>
      <x:c r="R37" s="51" t="n">
        <x:f>Q37-L37</x:f>
        <x:v>8570.658600000024</x:v>
      </x:c>
      <x:c r="S37" s="51" t="n">
        <x:f>(O37-J37)*K37</x:f>
        <x:v>6802.110000000016</x:v>
      </x:c>
      <x:c r="T37" s="51" t="n">
        <x:f>J37*(P37-K37)</x:f>
        <x:v>1700.5274999999879</x:v>
      </x:c>
      <x:c r="U37" s="51" t="n">
        <x:f>(O37-J37)*(P37-K37)</x:f>
        <x:v>68.02109999999966</x:v>
      </x:c>
      <x:c r="V37" s="51" t="n">
        <x:f>ROUND(R37-SUM(S37:U37),2)</x:f>
        <x:v>0</x:v>
      </x:c>
    </x:row>
    <x:row r="38">
      <x:c r="A38" s="13" t="n">
        <x:v>2025</x:v>
      </x:c>
      <x:c r="B38" s="13" t="str">
        <x:v>Base</x:v>
      </x:c>
      <x:c r="C38" s="13" t="str">
        <x:v>Pago de prima</x:v>
      </x:c>
      <x:c r="D38" s="13" t="str">
        <x:v>Sucursal</x:v>
      </x:c>
      <x:c r="E38" s="13" t="n">
        <x:v>0</x:v>
      </x:c>
      <x:c r="F38" s="49" t="n">
        <x:f>VLOOKUP(D38,Supuestos!$A$12:$F$15,3,FALSE)</x:f>
        <x:v>0</x:v>
      </x:c>
      <x:c r="G38" s="50" t="n">
        <x:f>SUMIFS(Fuente!$C$6:$C$37,Fuente!$A$6:$A$37,C38,Fuente!$B$6:$B$37,E38)</x:f>
        <x:v>669</x:v>
      </x:c>
      <x:c r="H38" s="51" t="n">
        <x:f>VLOOKUP(C38,Supuestos!$A$22:$B$37,2,FALSE)</x:f>
        <x:v>160</x:v>
      </x:c>
      <x:c r="I38" s="51" t="n">
        <x:f>VLOOKUP(D38,Supuestos!$A$12:$F$15,5,FALSE)</x:f>
        <x:v>1</x:v>
      </x:c>
      <x:c r="J38" s="52" t="n">
        <x:f>G38*IF(E38=1,F38,1)</x:f>
        <x:v>669</x:v>
      </x:c>
      <x:c r="K38" s="51" t="n">
        <x:f>H38*I38</x:f>
        <x:v>160</x:v>
      </x:c>
      <x:c r="L38" s="51" t="n">
        <x:f>ABS(J38*K38)</x:f>
        <x:v>107040</x:v>
      </x:c>
      <x:c r="M38" s="49" t="n">
        <x:f>VLOOKUP(D38,Supuestos!$A$12:$F$15,4,FALSE)</x:f>
        <x:v>-0.08</x:v>
      </x:c>
      <x:c r="N38" s="49" t="n">
        <x:f>VLOOKUP(D38,Supuestos!$A$12:$F$15,6,FALSE)</x:f>
        <x:v>0.01</x:v>
      </x:c>
      <x:c r="O38" s="52" t="n">
        <x:f>J38*(1+M38)</x:f>
        <x:v>615.48</x:v>
      </x:c>
      <x:c r="P38" s="51" t="n">
        <x:f>K38*(1+N38)</x:f>
        <x:v>161.6</x:v>
      </x:c>
      <x:c r="Q38" s="51" t="n">
        <x:f>ABS(O38*P38)</x:f>
        <x:v>99461.568</x:v>
      </x:c>
      <x:c r="R38" s="51" t="n">
        <x:f>Q38-L38</x:f>
        <x:v>-7578.432000000001</x:v>
      </x:c>
      <x:c r="S38" s="51" t="n">
        <x:f>(O38-J38)*K38</x:f>
        <x:v>-8563.199999999997</x:v>
      </x:c>
      <x:c r="T38" s="51" t="n">
        <x:f>J38*(P38-K38)</x:f>
        <x:v>1070.3999999999962</x:v>
      </x:c>
      <x:c r="U38" s="51" t="n">
        <x:f>(O38-J38)*(P38-K38)</x:f>
        <x:v>-85.63199999999966</x:v>
      </x:c>
      <x:c r="V38" s="51" t="n">
        <x:f>ROUND(R38-SUM(S38:U38),2)</x:f>
        <x:v>0</x:v>
      </x:c>
    </x:row>
    <x:row r="39">
      <x:c r="A39" s="13" t="n">
        <x:v>2025</x:v>
      </x:c>
      <x:c r="B39" s="13" t="str">
        <x:v>Base</x:v>
      </x:c>
      <x:c r="C39" s="13" t="str">
        <x:v>Pago de prima</x:v>
      </x:c>
      <x:c r="D39" s="13" t="str">
        <x:v>App móvil</x:v>
      </x:c>
      <x:c r="E39" s="13" t="n">
        <x:v>1</x:v>
      </x:c>
      <x:c r="F39" s="49" t="n">
        <x:f>VLOOKUP(D39,Supuestos!$A$12:$F$15,3,FALSE)</x:f>
        <x:v>0.55</x:v>
      </x:c>
      <x:c r="G39" s="50" t="n">
        <x:f>SUMIFS(Fuente!$C$6:$C$37,Fuente!$A$6:$A$37,C39,Fuente!$B$6:$B$37,E39)</x:f>
        <x:v>1878</x:v>
      </x:c>
      <x:c r="H39" s="51" t="n">
        <x:f>VLOOKUP(C39,Supuestos!$A$22:$B$37,2,FALSE)</x:f>
        <x:v>160</x:v>
      </x:c>
      <x:c r="I39" s="51" t="n">
        <x:f>VLOOKUP(D39,Supuestos!$A$12:$F$15,5,FALSE)</x:f>
        <x:v>0.9</x:v>
      </x:c>
      <x:c r="J39" s="52" t="n">
        <x:f>G39*IF(E39=1,F39,1)</x:f>
        <x:v>1032.9</x:v>
      </x:c>
      <x:c r="K39" s="51" t="n">
        <x:f>H39*I39</x:f>
        <x:v>144</x:v>
      </x:c>
      <x:c r="L39" s="51" t="n">
        <x:f>ABS(J39*K39)</x:f>
        <x:v>148737.6</x:v>
      </x:c>
      <x:c r="M39" s="49" t="n">
        <x:f>VLOOKUP(D39,Supuestos!$A$12:$F$15,4,FALSE)</x:f>
        <x:v>0.18</x:v>
      </x:c>
      <x:c r="N39" s="49" t="n">
        <x:f>VLOOKUP(D39,Supuestos!$A$12:$F$15,6,FALSE)</x:f>
        <x:v>0.03</x:v>
      </x:c>
      <x:c r="O39" s="52" t="n">
        <x:f>J39*(1+M39)</x:f>
        <x:v>1218.8220000000001</x:v>
      </x:c>
      <x:c r="P39" s="51" t="n">
        <x:f>K39*(1+N39)</x:f>
        <x:v>148.32</x:v>
      </x:c>
      <x:c r="Q39" s="51" t="n">
        <x:f>ABS(O39*P39)</x:f>
        <x:v>180775.67904000002</x:v>
      </x:c>
      <x:c r="R39" s="51" t="n">
        <x:f>Q39-L39</x:f>
        <x:v>32038.07904000001</x:v>
      </x:c>
      <x:c r="S39" s="51" t="n">
        <x:f>(O39-J39)*K39</x:f>
        <x:v>26772.768000000004</x:v>
      </x:c>
      <x:c r="T39" s="51" t="n">
        <x:f>J39*(P39-K39)</x:f>
        <x:v>4462.127999999993</x:v>
      </x:c>
      <x:c r="U39" s="51" t="n">
        <x:f>(O39-J39)*(P39-K39)</x:f>
        <x:v>803.1830399999989</x:v>
      </x:c>
      <x:c r="V39" s="51" t="n">
        <x:f>ROUND(R39-SUM(S39:U39),2)</x:f>
        <x:v>0</x:v>
      </x:c>
    </x:row>
    <x:row r="40">
      <x:c r="A40" s="13" t="n">
        <x:v>2025</x:v>
      </x:c>
      <x:c r="B40" s="13" t="str">
        <x:v>Base</x:v>
      </x:c>
      <x:c r="C40" s="13" t="str">
        <x:v>Pago de prima</x:v>
      </x:c>
      <x:c r="D40" s="13" t="str">
        <x:v>Banca web</x:v>
      </x:c>
      <x:c r="E40" s="13" t="n">
        <x:v>1</x:v>
      </x:c>
      <x:c r="F40" s="49" t="n">
        <x:f>VLOOKUP(D40,Supuestos!$A$12:$F$15,3,FALSE)</x:f>
        <x:v>0.3</x:v>
      </x:c>
      <x:c r="G40" s="50" t="n">
        <x:f>SUMIFS(Fuente!$C$6:$C$37,Fuente!$A$6:$A$37,C40,Fuente!$B$6:$B$37,E40)</x:f>
        <x:v>1878</x:v>
      </x:c>
      <x:c r="H40" s="51" t="n">
        <x:f>VLOOKUP(C40,Supuestos!$A$22:$B$37,2,FALSE)</x:f>
        <x:v>160</x:v>
      </x:c>
      <x:c r="I40" s="51" t="n">
        <x:f>VLOOKUP(D40,Supuestos!$A$12:$F$15,5,FALSE)</x:f>
        <x:v>1.15</x:v>
      </x:c>
      <x:c r="J40" s="52" t="n">
        <x:f>G40*IF(E40=1,F40,1)</x:f>
        <x:v>563.4</x:v>
      </x:c>
      <x:c r="K40" s="51" t="n">
        <x:f>H40*I40</x:f>
        <x:v>184</x:v>
      </x:c>
      <x:c r="L40" s="51" t="n">
        <x:f>ABS(J40*K40)</x:f>
        <x:v>103665.59999999999</x:v>
      </x:c>
      <x:c r="M40" s="49" t="n">
        <x:f>VLOOKUP(D40,Supuestos!$A$12:$F$15,4,FALSE)</x:f>
        <x:v>0.1</x:v>
      </x:c>
      <x:c r="N40" s="49" t="n">
        <x:f>VLOOKUP(D40,Supuestos!$A$12:$F$15,6,FALSE)</x:f>
        <x:v>0.02</x:v>
      </x:c>
      <x:c r="O40" s="52" t="n">
        <x:f>J40*(1+M40)</x:f>
        <x:v>619.74</x:v>
      </x:c>
      <x:c r="P40" s="51" t="n">
        <x:f>K40*(1+N40)</x:f>
        <x:v>187.68</x:v>
      </x:c>
      <x:c r="Q40" s="51" t="n">
        <x:f>ABS(O40*P40)</x:f>
        <x:v>116312.80320000001</x:v>
      </x:c>
      <x:c r="R40" s="51" t="n">
        <x:f>Q40-L40</x:f>
        <x:v>12647.203200000018</x:v>
      </x:c>
      <x:c r="S40" s="51" t="n">
        <x:f>(O40-J40)*K40</x:f>
        <x:v>10366.560000000005</x:v>
      </x:c>
      <x:c r="T40" s="51" t="n">
        <x:f>J40*(P40-K40)</x:f>
        <x:v>2073.3120000000035</x:v>
      </x:c>
      <x:c r="U40" s="51" t="n">
        <x:f>(O40-J40)*(P40-K40)</x:f>
        <x:v>207.3312000000005</x:v>
      </x:c>
      <x:c r="V40" s="51" t="n">
        <x:f>ROUND(R40-SUM(S40:U40),2)</x:f>
        <x:v>0</x:v>
      </x:c>
    </x:row>
    <x:row r="41">
      <x:c r="A41" s="13" t="n">
        <x:v>2025</x:v>
      </x:c>
      <x:c r="B41" s="13" t="str">
        <x:v>Base</x:v>
      </x:c>
      <x:c r="C41" s="13" t="str">
        <x:v>Pago de prima</x:v>
      </x:c>
      <x:c r="D41" s="13" t="str">
        <x:v>ATM</x:v>
      </x:c>
      <x:c r="E41" s="13" t="n">
        <x:v>1</x:v>
      </x:c>
      <x:c r="F41" s="49" t="n">
        <x:f>VLOOKUP(D41,Supuestos!$A$12:$F$15,3,FALSE)</x:f>
        <x:v>0.15</x:v>
      </x:c>
      <x:c r="G41" s="50" t="n">
        <x:f>SUMIFS(Fuente!$C$6:$C$37,Fuente!$A$6:$A$37,C41,Fuente!$B$6:$B$37,E41)</x:f>
        <x:v>1878</x:v>
      </x:c>
      <x:c r="H41" s="51" t="n">
        <x:f>VLOOKUP(C41,Supuestos!$A$22:$B$37,2,FALSE)</x:f>
        <x:v>160</x:v>
      </x:c>
      <x:c r="I41" s="51" t="n">
        <x:f>VLOOKUP(D41,Supuestos!$A$12:$F$15,5,FALSE)</x:f>
        <x:v>0.75</x:v>
      </x:c>
      <x:c r="J41" s="52" t="n">
        <x:f>G41*IF(E41=1,F41,1)</x:f>
        <x:v>281.7</x:v>
      </x:c>
      <x:c r="K41" s="51" t="n">
        <x:f>H41*I41</x:f>
        <x:v>120</x:v>
      </x:c>
      <x:c r="L41" s="51" t="n">
        <x:f>ABS(J41*K41)</x:f>
        <x:v>33804</x:v>
      </x:c>
      <x:c r="M41" s="49" t="n">
        <x:f>VLOOKUP(D41,Supuestos!$A$12:$F$15,4,FALSE)</x:f>
        <x:v>0.04</x:v>
      </x:c>
      <x:c r="N41" s="49" t="n">
        <x:f>VLOOKUP(D41,Supuestos!$A$12:$F$15,6,FALSE)</x:f>
        <x:v>0.01</x:v>
      </x:c>
      <x:c r="O41" s="52" t="n">
        <x:f>J41*(1+M41)</x:f>
        <x:v>292.968</x:v>
      </x:c>
      <x:c r="P41" s="51" t="n">
        <x:f>K41*(1+N41)</x:f>
        <x:v>121.2</x:v>
      </x:c>
      <x:c r="Q41" s="51" t="n">
        <x:f>ABS(O41*P41)</x:f>
        <x:v>35507.721600000004</x:v>
      </x:c>
      <x:c r="R41" s="51" t="n">
        <x:f>Q41-L41</x:f>
        <x:v>1703.7216000000044</x:v>
      </x:c>
      <x:c r="S41" s="51" t="n">
        <x:f>(O41-J41)*K41</x:f>
        <x:v>1352.1600000000035</x:v>
      </x:c>
      <x:c r="T41" s="51" t="n">
        <x:f>J41*(P41-K41)</x:f>
        <x:v>338.04000000000076</x:v>
      </x:c>
      <x:c r="U41" s="51" t="n">
        <x:f>(O41-J41)*(P41-K41)</x:f>
        <x:v>13.521600000000067</x:v>
      </x:c>
      <x:c r="V41" s="51" t="n">
        <x:f>ROUND(R41-SUM(S41:U41),2)</x:f>
        <x:v>0</x:v>
      </x:c>
    </x:row>
    <x:row r="42">
      <x:c r="A42" s="13" t="n">
        <x:v>2025</x:v>
      </x:c>
      <x:c r="B42" s="13" t="str">
        <x:v>Base</x:v>
      </x:c>
      <x:c r="C42" s="13" t="str">
        <x:v>Pago de servicio</x:v>
      </x:c>
      <x:c r="D42" s="13" t="str">
        <x:v>Sucursal</x:v>
      </x:c>
      <x:c r="E42" s="13" t="n">
        <x:v>0</x:v>
      </x:c>
      <x:c r="F42" s="49" t="n">
        <x:f>VLOOKUP(D42,Supuestos!$A$12:$F$15,3,FALSE)</x:f>
        <x:v>0</x:v>
      </x:c>
      <x:c r="G42" s="50" t="n">
        <x:f>SUMIFS(Fuente!$C$6:$C$37,Fuente!$A$6:$A$37,C42,Fuente!$B$6:$B$37,E42)</x:f>
        <x:v>931</x:v>
      </x:c>
      <x:c r="H42" s="51" t="n">
        <x:f>VLOOKUP(C42,Supuestos!$A$22:$B$37,2,FALSE)</x:f>
        <x:v>75</x:v>
      </x:c>
      <x:c r="I42" s="51" t="n">
        <x:f>VLOOKUP(D42,Supuestos!$A$12:$F$15,5,FALSE)</x:f>
        <x:v>1</x:v>
      </x:c>
      <x:c r="J42" s="52" t="n">
        <x:f>G42*IF(E42=1,F42,1)</x:f>
        <x:v>931</x:v>
      </x:c>
      <x:c r="K42" s="51" t="n">
        <x:f>H42*I42</x:f>
        <x:v>75</x:v>
      </x:c>
      <x:c r="L42" s="51" t="n">
        <x:f>ABS(J42*K42)</x:f>
        <x:v>69825</x:v>
      </x:c>
      <x:c r="M42" s="49" t="n">
        <x:f>VLOOKUP(D42,Supuestos!$A$12:$F$15,4,FALSE)</x:f>
        <x:v>-0.08</x:v>
      </x:c>
      <x:c r="N42" s="49" t="n">
        <x:f>VLOOKUP(D42,Supuestos!$A$12:$F$15,6,FALSE)</x:f>
        <x:v>0.01</x:v>
      </x:c>
      <x:c r="O42" s="52" t="n">
        <x:f>J42*(1+M42)</x:f>
        <x:v>856.52</x:v>
      </x:c>
      <x:c r="P42" s="51" t="n">
        <x:f>K42*(1+N42)</x:f>
        <x:v>75.75</x:v>
      </x:c>
      <x:c r="Q42" s="51" t="n">
        <x:f>ABS(O42*P42)</x:f>
        <x:v>64881.39</x:v>
      </x:c>
      <x:c r="R42" s="51" t="n">
        <x:f>Q42-L42</x:f>
        <x:v>-4943.610000000001</x:v>
      </x:c>
      <x:c r="S42" s="51" t="n">
        <x:f>(O42-J42)*K42</x:f>
        <x:v>-5586.000000000002</x:v>
      </x:c>
      <x:c r="T42" s="51" t="n">
        <x:f>J42*(P42-K42)</x:f>
        <x:v>698.25</x:v>
      </x:c>
      <x:c r="U42" s="51" t="n">
        <x:f>(O42-J42)*(P42-K42)</x:f>
        <x:v>-55.860000000000014</x:v>
      </x:c>
      <x:c r="V42" s="51" t="n">
        <x:f>ROUND(R42-SUM(S42:U42),2)</x:f>
        <x:v>0</x:v>
      </x:c>
    </x:row>
    <x:row r="43">
      <x:c r="A43" s="13" t="n">
        <x:v>2025</x:v>
      </x:c>
      <x:c r="B43" s="13" t="str">
        <x:v>Base</x:v>
      </x:c>
      <x:c r="C43" s="13" t="str">
        <x:v>Pago de servicio</x:v>
      </x:c>
      <x:c r="D43" s="13" t="str">
        <x:v>App móvil</x:v>
      </x:c>
      <x:c r="E43" s="13" t="n">
        <x:v>1</x:v>
      </x:c>
      <x:c r="F43" s="49" t="n">
        <x:f>VLOOKUP(D43,Supuestos!$A$12:$F$15,3,FALSE)</x:f>
        <x:v>0.55</x:v>
      </x:c>
      <x:c r="G43" s="50" t="n">
        <x:f>SUMIFS(Fuente!$C$6:$C$37,Fuente!$A$6:$A$37,C43,Fuente!$B$6:$B$37,E43)</x:f>
        <x:v>3603</x:v>
      </x:c>
      <x:c r="H43" s="51" t="n">
        <x:f>VLOOKUP(C43,Supuestos!$A$22:$B$37,2,FALSE)</x:f>
        <x:v>75</x:v>
      </x:c>
      <x:c r="I43" s="51" t="n">
        <x:f>VLOOKUP(D43,Supuestos!$A$12:$F$15,5,FALSE)</x:f>
        <x:v>0.9</x:v>
      </x:c>
      <x:c r="J43" s="52" t="n">
        <x:f>G43*IF(E43=1,F43,1)</x:f>
        <x:v>1981.65</x:v>
      </x:c>
      <x:c r="K43" s="51" t="n">
        <x:f>H43*I43</x:f>
        <x:v>67.5</x:v>
      </x:c>
      <x:c r="L43" s="51" t="n">
        <x:f>ABS(J43*K43)</x:f>
        <x:v>133761.375</x:v>
      </x:c>
      <x:c r="M43" s="49" t="n">
        <x:f>VLOOKUP(D43,Supuestos!$A$12:$F$15,4,FALSE)</x:f>
        <x:v>0.18</x:v>
      </x:c>
      <x:c r="N43" s="49" t="n">
        <x:f>VLOOKUP(D43,Supuestos!$A$12:$F$15,6,FALSE)</x:f>
        <x:v>0.03</x:v>
      </x:c>
      <x:c r="O43" s="52" t="n">
        <x:f>J43*(1+M43)</x:f>
        <x:v>2338.347</x:v>
      </x:c>
      <x:c r="P43" s="51" t="n">
        <x:f>K43*(1+N43)</x:f>
        <x:v>69.525</x:v>
      </x:c>
      <x:c r="Q43" s="51" t="n">
        <x:f>ABS(O43*P43)</x:f>
        <x:v>162573.57517500003</x:v>
      </x:c>
      <x:c r="R43" s="51" t="n">
        <x:f>Q43-L43</x:f>
        <x:v>28812.200175000035</x:v>
      </x:c>
      <x:c r="S43" s="51" t="n">
        <x:f>(O43-J43)*K43</x:f>
        <x:v>24077.047500000008</x:v>
      </x:c>
      <x:c r="T43" s="51" t="n">
        <x:f>J43*(P43-K43)</x:f>
        <x:v>4012.8412500000113</x:v>
      </x:c>
      <x:c r="U43" s="51" t="n">
        <x:f>(O43-J43)*(P43-K43)</x:f>
        <x:v>722.3114250000023</x:v>
      </x:c>
      <x:c r="V43" s="51" t="n">
        <x:f>ROUND(R43-SUM(S43:U43),2)</x:f>
        <x:v>0</x:v>
      </x:c>
    </x:row>
    <x:row r="44">
      <x:c r="A44" s="13" t="n">
        <x:v>2025</x:v>
      </x:c>
      <x:c r="B44" s="13" t="str">
        <x:v>Base</x:v>
      </x:c>
      <x:c r="C44" s="13" t="str">
        <x:v>Pago de servicio</x:v>
      </x:c>
      <x:c r="D44" s="13" t="str">
        <x:v>Banca web</x:v>
      </x:c>
      <x:c r="E44" s="13" t="n">
        <x:v>1</x:v>
      </x:c>
      <x:c r="F44" s="49" t="n">
        <x:f>VLOOKUP(D44,Supuestos!$A$12:$F$15,3,FALSE)</x:f>
        <x:v>0.3</x:v>
      </x:c>
      <x:c r="G44" s="50" t="n">
        <x:f>SUMIFS(Fuente!$C$6:$C$37,Fuente!$A$6:$A$37,C44,Fuente!$B$6:$B$37,E44)</x:f>
        <x:v>3603</x:v>
      </x:c>
      <x:c r="H44" s="51" t="n">
        <x:f>VLOOKUP(C44,Supuestos!$A$22:$B$37,2,FALSE)</x:f>
        <x:v>75</x:v>
      </x:c>
      <x:c r="I44" s="51" t="n">
        <x:f>VLOOKUP(D44,Supuestos!$A$12:$F$15,5,FALSE)</x:f>
        <x:v>1.15</x:v>
      </x:c>
      <x:c r="J44" s="52" t="n">
        <x:f>G44*IF(E44=1,F44,1)</x:f>
        <x:v>1080.8999999999999</x:v>
      </x:c>
      <x:c r="K44" s="51" t="n">
        <x:f>H44*I44</x:f>
        <x:v>86.25</x:v>
      </x:c>
      <x:c r="L44" s="51" t="n">
        <x:f>ABS(J44*K44)</x:f>
        <x:v>93227.62499999999</x:v>
      </x:c>
      <x:c r="M44" s="49" t="n">
        <x:f>VLOOKUP(D44,Supuestos!$A$12:$F$15,4,FALSE)</x:f>
        <x:v>0.1</x:v>
      </x:c>
      <x:c r="N44" s="49" t="n">
        <x:f>VLOOKUP(D44,Supuestos!$A$12:$F$15,6,FALSE)</x:f>
        <x:v>0.02</x:v>
      </x:c>
      <x:c r="O44" s="52" t="n">
        <x:f>J44*(1+M44)</x:f>
        <x:v>1188.99</x:v>
      </x:c>
      <x:c r="P44" s="51" t="n">
        <x:f>K44*(1+N44)</x:f>
        <x:v>87.97500000000001</x:v>
      </x:c>
      <x:c r="Q44" s="51" t="n">
        <x:f>ABS(O44*P44)</x:f>
        <x:v>104601.39525000002</x:v>
      </x:c>
      <x:c r="R44" s="51" t="n">
        <x:f>Q44-L44</x:f>
        <x:v>11373.77025000003</x:v>
      </x:c>
      <x:c r="S44" s="51" t="n">
        <x:f>(O44-J44)*K44</x:f>
        <x:v>9322.762500000012</x:v>
      </x:c>
      <x:c r="T44" s="51" t="n">
        <x:f>J44*(P44-K44)</x:f>
        <x:v>1864.5525000000089</x:v>
      </x:c>
      <x:c r="U44" s="51" t="n">
        <x:f>(O44-J44)*(P44-K44)</x:f>
        <x:v>186.45525000000117</x:v>
      </x:c>
      <x:c r="V44" s="51" t="n">
        <x:f>ROUND(R44-SUM(S44:U44),2)</x:f>
        <x:v>0</x:v>
      </x:c>
    </x:row>
    <x:row r="45">
      <x:c r="A45" s="13" t="n">
        <x:v>2025</x:v>
      </x:c>
      <x:c r="B45" s="13" t="str">
        <x:v>Base</x:v>
      </x:c>
      <x:c r="C45" s="13" t="str">
        <x:v>Pago de servicio</x:v>
      </x:c>
      <x:c r="D45" s="13" t="str">
        <x:v>ATM</x:v>
      </x:c>
      <x:c r="E45" s="13" t="n">
        <x:v>1</x:v>
      </x:c>
      <x:c r="F45" s="49" t="n">
        <x:f>VLOOKUP(D45,Supuestos!$A$12:$F$15,3,FALSE)</x:f>
        <x:v>0.15</x:v>
      </x:c>
      <x:c r="G45" s="50" t="n">
        <x:f>SUMIFS(Fuente!$C$6:$C$37,Fuente!$A$6:$A$37,C45,Fuente!$B$6:$B$37,E45)</x:f>
        <x:v>3603</x:v>
      </x:c>
      <x:c r="H45" s="51" t="n">
        <x:f>VLOOKUP(C45,Supuestos!$A$22:$B$37,2,FALSE)</x:f>
        <x:v>75</x:v>
      </x:c>
      <x:c r="I45" s="51" t="n">
        <x:f>VLOOKUP(D45,Supuestos!$A$12:$F$15,5,FALSE)</x:f>
        <x:v>0.75</x:v>
      </x:c>
      <x:c r="J45" s="52" t="n">
        <x:f>G45*IF(E45=1,F45,1)</x:f>
        <x:v>540.4499999999999</x:v>
      </x:c>
      <x:c r="K45" s="51" t="n">
        <x:f>H45*I45</x:f>
        <x:v>56.25</x:v>
      </x:c>
      <x:c r="L45" s="51" t="n">
        <x:f>ABS(J45*K45)</x:f>
        <x:v>30400.312499999996</x:v>
      </x:c>
      <x:c r="M45" s="49" t="n">
        <x:f>VLOOKUP(D45,Supuestos!$A$12:$F$15,4,FALSE)</x:f>
        <x:v>0.04</x:v>
      </x:c>
      <x:c r="N45" s="49" t="n">
        <x:f>VLOOKUP(D45,Supuestos!$A$12:$F$15,6,FALSE)</x:f>
        <x:v>0.01</x:v>
      </x:c>
      <x:c r="O45" s="52" t="n">
        <x:f>J45*(1+M45)</x:f>
        <x:v>562.068</x:v>
      </x:c>
      <x:c r="P45" s="51" t="n">
        <x:f>K45*(1+N45)</x:f>
        <x:v>56.8125</x:v>
      </x:c>
      <x:c r="Q45" s="51" t="n">
        <x:f>ABS(O45*P45)</x:f>
        <x:v>31932.48825</x:v>
      </x:c>
      <x:c r="R45" s="51" t="n">
        <x:f>Q45-L45</x:f>
        <x:v>1532.1757500000022</x:v>
      </x:c>
      <x:c r="S45" s="51" t="n">
        <x:f>(O45-J45)*K45</x:f>
        <x:v>1216.012500000003</x:v>
      </x:c>
      <x:c r="T45" s="51" t="n">
        <x:f>J45*(P45-K45)</x:f>
        <x:v>304.00312499999995</x:v>
      </x:c>
      <x:c r="U45" s="51" t="n">
        <x:f>(O45-J45)*(P45-K45)</x:f>
        <x:v>12.16012500000003</x:v>
      </x:c>
      <x:c r="V45" s="51" t="n">
        <x:f>ROUND(R45-SUM(S45:U45),2)</x:f>
        <x:v>0</x:v>
      </x:c>
    </x:row>
    <x:row r="46">
      <x:c r="A46" s="13" t="n">
        <x:v>2025</x:v>
      </x:c>
      <x:c r="B46" s="13" t="str">
        <x:v>Base</x:v>
      </x:c>
      <x:c r="C46" s="13" t="str">
        <x:v>Pago de tarjeta</x:v>
      </x:c>
      <x:c r="D46" s="13" t="str">
        <x:v>Sucursal</x:v>
      </x:c>
      <x:c r="E46" s="13" t="n">
        <x:v>0</x:v>
      </x:c>
      <x:c r="F46" s="49" t="n">
        <x:f>VLOOKUP(D46,Supuestos!$A$12:$F$15,3,FALSE)</x:f>
        <x:v>0</x:v>
      </x:c>
      <x:c r="G46" s="50" t="n">
        <x:f>SUMIFS(Fuente!$C$6:$C$37,Fuente!$A$6:$A$37,C46,Fuente!$B$6:$B$37,E46)</x:f>
        <x:v>564</x:v>
      </x:c>
      <x:c r="H46" s="51" t="n">
        <x:f>VLOOKUP(C46,Supuestos!$A$22:$B$37,2,FALSE)</x:f>
        <x:v>320</x:v>
      </x:c>
      <x:c r="I46" s="51" t="n">
        <x:f>VLOOKUP(D46,Supuestos!$A$12:$F$15,5,FALSE)</x:f>
        <x:v>1</x:v>
      </x:c>
      <x:c r="J46" s="52" t="n">
        <x:f>G46*IF(E46=1,F46,1)</x:f>
        <x:v>564</x:v>
      </x:c>
      <x:c r="K46" s="51" t="n">
        <x:f>H46*I46</x:f>
        <x:v>320</x:v>
      </x:c>
      <x:c r="L46" s="51" t="n">
        <x:f>ABS(J46*K46)</x:f>
        <x:v>180480</x:v>
      </x:c>
      <x:c r="M46" s="49" t="n">
        <x:f>VLOOKUP(D46,Supuestos!$A$12:$F$15,4,FALSE)</x:f>
        <x:v>-0.08</x:v>
      </x:c>
      <x:c r="N46" s="49" t="n">
        <x:f>VLOOKUP(D46,Supuestos!$A$12:$F$15,6,FALSE)</x:f>
        <x:v>0.01</x:v>
      </x:c>
      <x:c r="O46" s="52" t="n">
        <x:f>J46*(1+M46)</x:f>
        <x:v>518.88</x:v>
      </x:c>
      <x:c r="P46" s="51" t="n">
        <x:f>K46*(1+N46)</x:f>
        <x:v>323.2</x:v>
      </x:c>
      <x:c r="Q46" s="51" t="n">
        <x:f>ABS(O46*P46)</x:f>
        <x:v>167702.016</x:v>
      </x:c>
      <x:c r="R46" s="51" t="n">
        <x:f>Q46-L46</x:f>
        <x:v>-12777.983999999997</x:v>
      </x:c>
      <x:c r="S46" s="51" t="n">
        <x:f>(O46-J46)*K46</x:f>
        <x:v>-14438.400000000001</x:v>
      </x:c>
      <x:c r="T46" s="51" t="n">
        <x:f>J46*(P46-K46)</x:f>
        <x:v>1804.7999999999936</x:v>
      </x:c>
      <x:c r="U46" s="51" t="n">
        <x:f>(O46-J46)*(P46-K46)</x:f>
        <x:v>-144.3839999999995</x:v>
      </x:c>
      <x:c r="V46" s="51" t="n">
        <x:f>ROUND(R46-SUM(S46:U46),2)</x:f>
        <x:v>0</x:v>
      </x:c>
    </x:row>
    <x:row r="47">
      <x:c r="A47" s="13" t="n">
        <x:v>2025</x:v>
      </x:c>
      <x:c r="B47" s="13" t="str">
        <x:v>Base</x:v>
      </x:c>
      <x:c r="C47" s="13" t="str">
        <x:v>Pago de tarjeta</x:v>
      </x:c>
      <x:c r="D47" s="13" t="str">
        <x:v>App móvil</x:v>
      </x:c>
      <x:c r="E47" s="13" t="n">
        <x:v>1</x:v>
      </x:c>
      <x:c r="F47" s="49" t="n">
        <x:f>VLOOKUP(D47,Supuestos!$A$12:$F$15,3,FALSE)</x:f>
        <x:v>0.55</x:v>
      </x:c>
      <x:c r="G47" s="50" t="n">
        <x:f>SUMIFS(Fuente!$C$6:$C$37,Fuente!$A$6:$A$37,C47,Fuente!$B$6:$B$37,E47)</x:f>
        <x:v>1664</x:v>
      </x:c>
      <x:c r="H47" s="51" t="n">
        <x:f>VLOOKUP(C47,Supuestos!$A$22:$B$37,2,FALSE)</x:f>
        <x:v>320</x:v>
      </x:c>
      <x:c r="I47" s="51" t="n">
        <x:f>VLOOKUP(D47,Supuestos!$A$12:$F$15,5,FALSE)</x:f>
        <x:v>0.9</x:v>
      </x:c>
      <x:c r="J47" s="52" t="n">
        <x:f>G47*IF(E47=1,F47,1)</x:f>
        <x:v>915.2</x:v>
      </x:c>
      <x:c r="K47" s="51" t="n">
        <x:f>H47*I47</x:f>
        <x:v>288</x:v>
      </x:c>
      <x:c r="L47" s="51" t="n">
        <x:f>ABS(J47*K47)</x:f>
        <x:v>263577.60000000003</x:v>
      </x:c>
      <x:c r="M47" s="49" t="n">
        <x:f>VLOOKUP(D47,Supuestos!$A$12:$F$15,4,FALSE)</x:f>
        <x:v>0.18</x:v>
      </x:c>
      <x:c r="N47" s="49" t="n">
        <x:f>VLOOKUP(D47,Supuestos!$A$12:$F$15,6,FALSE)</x:f>
        <x:v>0.03</x:v>
      </x:c>
      <x:c r="O47" s="52" t="n">
        <x:f>J47*(1+M47)</x:f>
        <x:v>1079.936</x:v>
      </x:c>
      <x:c r="P47" s="51" t="n">
        <x:f>K47*(1+N47)</x:f>
        <x:v>296.64</x:v>
      </x:c>
      <x:c r="Q47" s="51" t="n">
        <x:f>ABS(O47*P47)</x:f>
        <x:v>320352.21504</x:v>
      </x:c>
      <x:c r="R47" s="51" t="n">
        <x:f>Q47-L47</x:f>
        <x:v>56774.615039999946</x:v>
      </x:c>
      <x:c r="S47" s="51" t="n">
        <x:f>(O47-J47)*K47</x:f>
        <x:v>47443.967999999964</x:v>
      </x:c>
      <x:c r="T47" s="51" t="n">
        <x:f>J47*(P47-K47)</x:f>
        <x:v>7907.327999999988</x:v>
      </x:c>
      <x:c r="U47" s="51" t="n">
        <x:f>(O47-J47)*(P47-K47)</x:f>
        <x:v>1423.3190399999967</x:v>
      </x:c>
      <x:c r="V47" s="51" t="n">
        <x:f>ROUND(R47-SUM(S47:U47),2)</x:f>
        <x:v>0</x:v>
      </x:c>
    </x:row>
    <x:row r="48">
      <x:c r="A48" s="13" t="n">
        <x:v>2025</x:v>
      </x:c>
      <x:c r="B48" s="13" t="str">
        <x:v>Base</x:v>
      </x:c>
      <x:c r="C48" s="13" t="str">
        <x:v>Pago de tarjeta</x:v>
      </x:c>
      <x:c r="D48" s="13" t="str">
        <x:v>Banca web</x:v>
      </x:c>
      <x:c r="E48" s="13" t="n">
        <x:v>1</x:v>
      </x:c>
      <x:c r="F48" s="49" t="n">
        <x:f>VLOOKUP(D48,Supuestos!$A$12:$F$15,3,FALSE)</x:f>
        <x:v>0.3</x:v>
      </x:c>
      <x:c r="G48" s="50" t="n">
        <x:f>SUMIFS(Fuente!$C$6:$C$37,Fuente!$A$6:$A$37,C48,Fuente!$B$6:$B$37,E48)</x:f>
        <x:v>1664</x:v>
      </x:c>
      <x:c r="H48" s="51" t="n">
        <x:f>VLOOKUP(C48,Supuestos!$A$22:$B$37,2,FALSE)</x:f>
        <x:v>320</x:v>
      </x:c>
      <x:c r="I48" s="51" t="n">
        <x:f>VLOOKUP(D48,Supuestos!$A$12:$F$15,5,FALSE)</x:f>
        <x:v>1.15</x:v>
      </x:c>
      <x:c r="J48" s="52" t="n">
        <x:f>G48*IF(E48=1,F48,1)</x:f>
        <x:v>499.2</x:v>
      </x:c>
      <x:c r="K48" s="51" t="n">
        <x:f>H48*I48</x:f>
        <x:v>368</x:v>
      </x:c>
      <x:c r="L48" s="51" t="n">
        <x:f>ABS(J48*K48)</x:f>
        <x:v>183705.6</x:v>
      </x:c>
      <x:c r="M48" s="49" t="n">
        <x:f>VLOOKUP(D48,Supuestos!$A$12:$F$15,4,FALSE)</x:f>
        <x:v>0.1</x:v>
      </x:c>
      <x:c r="N48" s="49" t="n">
        <x:f>VLOOKUP(D48,Supuestos!$A$12:$F$15,6,FALSE)</x:f>
        <x:v>0.02</x:v>
      </x:c>
      <x:c r="O48" s="52" t="n">
        <x:f>J48*(1+M48)</x:f>
        <x:v>549.12</x:v>
      </x:c>
      <x:c r="P48" s="51" t="n">
        <x:f>K48*(1+N48)</x:f>
        <x:v>375.36</x:v>
      </x:c>
      <x:c r="Q48" s="51" t="n">
        <x:f>ABS(O48*P48)</x:f>
        <x:v>206117.6832</x:v>
      </x:c>
      <x:c r="R48" s="51" t="n">
        <x:f>Q48-L48</x:f>
        <x:v>22412.083199999994</x:v>
      </x:c>
      <x:c r="S48" s="51" t="n">
        <x:f>(O48-J48)*K48</x:f>
        <x:v>18370.560000000005</x:v>
      </x:c>
      <x:c r="T48" s="51" t="n">
        <x:f>J48*(P48-K48)</x:f>
        <x:v>3674.112000000007</x:v>
      </x:c>
      <x:c r="U48" s="51" t="n">
        <x:f>(O48-J48)*(P48-K48)</x:f>
        <x:v>367.4112000000008</x:v>
      </x:c>
      <x:c r="V48" s="51" t="n">
        <x:f>ROUND(R48-SUM(S48:U48),2)</x:f>
        <x:v>0</x:v>
      </x:c>
    </x:row>
    <x:row r="49">
      <x:c r="A49" s="13" t="n">
        <x:v>2025</x:v>
      </x:c>
      <x:c r="B49" s="13" t="str">
        <x:v>Base</x:v>
      </x:c>
      <x:c r="C49" s="13" t="str">
        <x:v>Pago de tarjeta</x:v>
      </x:c>
      <x:c r="D49" s="13" t="str">
        <x:v>ATM</x:v>
      </x:c>
      <x:c r="E49" s="13" t="n">
        <x:v>1</x:v>
      </x:c>
      <x:c r="F49" s="49" t="n">
        <x:f>VLOOKUP(D49,Supuestos!$A$12:$F$15,3,FALSE)</x:f>
        <x:v>0.15</x:v>
      </x:c>
      <x:c r="G49" s="50" t="n">
        <x:f>SUMIFS(Fuente!$C$6:$C$37,Fuente!$A$6:$A$37,C49,Fuente!$B$6:$B$37,E49)</x:f>
        <x:v>1664</x:v>
      </x:c>
      <x:c r="H49" s="51" t="n">
        <x:f>VLOOKUP(C49,Supuestos!$A$22:$B$37,2,FALSE)</x:f>
        <x:v>320</x:v>
      </x:c>
      <x:c r="I49" s="51" t="n">
        <x:f>VLOOKUP(D49,Supuestos!$A$12:$F$15,5,FALSE)</x:f>
        <x:v>0.75</x:v>
      </x:c>
      <x:c r="J49" s="52" t="n">
        <x:f>G49*IF(E49=1,F49,1)</x:f>
        <x:v>249.6</x:v>
      </x:c>
      <x:c r="K49" s="51" t="n">
        <x:f>H49*I49</x:f>
        <x:v>240</x:v>
      </x:c>
      <x:c r="L49" s="51" t="n">
        <x:f>ABS(J49*K49)</x:f>
        <x:v>59904</x:v>
      </x:c>
      <x:c r="M49" s="49" t="n">
        <x:f>VLOOKUP(D49,Supuestos!$A$12:$F$15,4,FALSE)</x:f>
        <x:v>0.04</x:v>
      </x:c>
      <x:c r="N49" s="49" t="n">
        <x:f>VLOOKUP(D49,Supuestos!$A$12:$F$15,6,FALSE)</x:f>
        <x:v>0.01</x:v>
      </x:c>
      <x:c r="O49" s="52" t="n">
        <x:f>J49*(1+M49)</x:f>
        <x:v>259.584</x:v>
      </x:c>
      <x:c r="P49" s="51" t="n">
        <x:f>K49*(1+N49)</x:f>
        <x:v>242.4</x:v>
      </x:c>
      <x:c r="Q49" s="51" t="n">
        <x:f>ABS(O49*P49)</x:f>
        <x:v>62923.1616</x:v>
      </x:c>
      <x:c r="R49" s="51" t="n">
        <x:f>Q49-L49</x:f>
        <x:v>3019.1615999999995</x:v>
      </x:c>
      <x:c r="S49" s="51" t="n">
        <x:f>(O49-J49)*K49</x:f>
        <x:v>2396.160000000002</x:v>
      </x:c>
      <x:c r="T49" s="51" t="n">
        <x:f>J49*(P49-K49)</x:f>
        <x:v>599.0400000000014</x:v>
      </x:c>
      <x:c r="U49" s="51" t="n">
        <x:f>(O49-J49)*(P49-K49)</x:f>
        <x:v>23.96160000000008</x:v>
      </x:c>
      <x:c r="V49" s="51" t="n">
        <x:f>ROUND(R49-SUM(S49:U49),2)</x:f>
        <x:v>0</x:v>
      </x:c>
    </x:row>
    <x:row r="50">
      <x:c r="A50" s="13" t="n">
        <x:v>2025</x:v>
      </x:c>
      <x:c r="B50" s="13" t="str">
        <x:v>Base</x:v>
      </x:c>
      <x:c r="C50" s="13" t="str">
        <x:v>Rendimiento</x:v>
      </x:c>
      <x:c r="D50" s="13" t="str">
        <x:v>Sucursal</x:v>
      </x:c>
      <x:c r="E50" s="13" t="n">
        <x:v>0</x:v>
      </x:c>
      <x:c r="F50" s="49" t="n">
        <x:f>VLOOKUP(D50,Supuestos!$A$12:$F$15,3,FALSE)</x:f>
        <x:v>0</x:v>
      </x:c>
      <x:c r="G50" s="50" t="n">
        <x:f>SUMIFS(Fuente!$C$6:$C$37,Fuente!$A$6:$A$37,C50,Fuente!$B$6:$B$37,E50)</x:f>
        <x:v>757</x:v>
      </x:c>
      <x:c r="H50" s="51" t="n">
        <x:f>VLOOKUP(C50,Supuestos!$A$22:$B$37,2,FALSE)</x:f>
        <x:v>45</x:v>
      </x:c>
      <x:c r="I50" s="51" t="n">
        <x:f>VLOOKUP(D50,Supuestos!$A$12:$F$15,5,FALSE)</x:f>
        <x:v>1</x:v>
      </x:c>
      <x:c r="J50" s="52" t="n">
        <x:f>G50*IF(E50=1,F50,1)</x:f>
        <x:v>757</x:v>
      </x:c>
      <x:c r="K50" s="51" t="n">
        <x:f>H50*I50</x:f>
        <x:v>45</x:v>
      </x:c>
      <x:c r="L50" s="51" t="n">
        <x:f>ABS(J50*K50)</x:f>
        <x:v>34065</x:v>
      </x:c>
      <x:c r="M50" s="49" t="n">
        <x:f>VLOOKUP(D50,Supuestos!$A$12:$F$15,4,FALSE)</x:f>
        <x:v>-0.08</x:v>
      </x:c>
      <x:c r="N50" s="49" t="n">
        <x:f>VLOOKUP(D50,Supuestos!$A$12:$F$15,6,FALSE)</x:f>
        <x:v>0.01</x:v>
      </x:c>
      <x:c r="O50" s="52" t="n">
        <x:f>J50*(1+M50)</x:f>
        <x:v>696.44</x:v>
      </x:c>
      <x:c r="P50" s="51" t="n">
        <x:f>K50*(1+N50)</x:f>
        <x:v>45.45</x:v>
      </x:c>
      <x:c r="Q50" s="51" t="n">
        <x:f>ABS(O50*P50)</x:f>
        <x:v>31653.198000000004</x:v>
      </x:c>
      <x:c r="R50" s="51" t="n">
        <x:f>Q50-L50</x:f>
        <x:v>-2411.801999999996</x:v>
      </x:c>
      <x:c r="S50" s="51" t="n">
        <x:f>(O50-J50)*K50</x:f>
        <x:v>-2725.1999999999975</x:v>
      </x:c>
      <x:c r="T50" s="51" t="n">
        <x:f>J50*(P50-K50)</x:f>
        <x:v>340.65000000000214</x:v>
      </x:c>
      <x:c r="U50" s="51" t="n">
        <x:f>(O50-J50)*(P50-K50)</x:f>
        <x:v>-27.252000000000148</x:v>
      </x:c>
      <x:c r="V50" s="51" t="n">
        <x:f>ROUND(R50-SUM(S50:U50),2)</x:f>
        <x:v>0</x:v>
      </x:c>
    </x:row>
    <x:row r="51">
      <x:c r="A51" s="13" t="n">
        <x:v>2025</x:v>
      </x:c>
      <x:c r="B51" s="13" t="str">
        <x:v>Base</x:v>
      </x:c>
      <x:c r="C51" s="13" t="str">
        <x:v>Rendimiento</x:v>
      </x:c>
      <x:c r="D51" s="13" t="str">
        <x:v>App móvil</x:v>
      </x:c>
      <x:c r="E51" s="13" t="n">
        <x:v>1</x:v>
      </x:c>
      <x:c r="F51" s="49" t="n">
        <x:f>VLOOKUP(D51,Supuestos!$A$12:$F$15,3,FALSE)</x:f>
        <x:v>0.55</x:v>
      </x:c>
      <x:c r="G51" s="50" t="n">
        <x:f>SUMIFS(Fuente!$C$6:$C$37,Fuente!$A$6:$A$37,C51,Fuente!$B$6:$B$37,E51)</x:f>
        <x:v>2171</x:v>
      </x:c>
      <x:c r="H51" s="51" t="n">
        <x:f>VLOOKUP(C51,Supuestos!$A$22:$B$37,2,FALSE)</x:f>
        <x:v>45</x:v>
      </x:c>
      <x:c r="I51" s="51" t="n">
        <x:f>VLOOKUP(D51,Supuestos!$A$12:$F$15,5,FALSE)</x:f>
        <x:v>0.9</x:v>
      </x:c>
      <x:c r="J51" s="52" t="n">
        <x:f>G51*IF(E51=1,F51,1)</x:f>
        <x:v>1194.0500000000002</x:v>
      </x:c>
      <x:c r="K51" s="51" t="n">
        <x:f>H51*I51</x:f>
        <x:v>40.5</x:v>
      </x:c>
      <x:c r="L51" s="51" t="n">
        <x:f>ABS(J51*K51)</x:f>
        <x:v>48359.02500000001</x:v>
      </x:c>
      <x:c r="M51" s="49" t="n">
        <x:f>VLOOKUP(D51,Supuestos!$A$12:$F$15,4,FALSE)</x:f>
        <x:v>0.18</x:v>
      </x:c>
      <x:c r="N51" s="49" t="n">
        <x:f>VLOOKUP(D51,Supuestos!$A$12:$F$15,6,FALSE)</x:f>
        <x:v>0.03</x:v>
      </x:c>
      <x:c r="O51" s="52" t="n">
        <x:f>J51*(1+M51)</x:f>
        <x:v>1408.979</x:v>
      </x:c>
      <x:c r="P51" s="51" t="n">
        <x:f>K51*(1+N51)</x:f>
        <x:v>41.715</x:v>
      </x:c>
      <x:c r="Q51" s="51" t="n">
        <x:f>ABS(O51*P51)</x:f>
        <x:v>58775.558985</x:v>
      </x:c>
      <x:c r="R51" s="51" t="n">
        <x:f>Q51-L51</x:f>
        <x:v>10416.533984999995</x:v>
      </x:c>
      <x:c r="S51" s="51" t="n">
        <x:f>(O51-J51)*K51</x:f>
        <x:v>8704.624499999994</x:v>
      </x:c>
      <x:c r="T51" s="51" t="n">
        <x:f>J51*(P51-K51)</x:f>
        <x:v>1450.7707500000042</x:v>
      </x:c>
      <x:c r="U51" s="51" t="n">
        <x:f>(O51-J51)*(P51-K51)</x:f>
        <x:v>261.13873500000057</x:v>
      </x:c>
      <x:c r="V51" s="51" t="n">
        <x:f>ROUND(R51-SUM(S51:U51),2)</x:f>
        <x:v>0</x:v>
      </x:c>
    </x:row>
    <x:row r="52">
      <x:c r="A52" s="13" t="n">
        <x:v>2025</x:v>
      </x:c>
      <x:c r="B52" s="13" t="str">
        <x:v>Base</x:v>
      </x:c>
      <x:c r="C52" s="13" t="str">
        <x:v>Rendimiento</x:v>
      </x:c>
      <x:c r="D52" s="13" t="str">
        <x:v>Banca web</x:v>
      </x:c>
      <x:c r="E52" s="13" t="n">
        <x:v>1</x:v>
      </x:c>
      <x:c r="F52" s="49" t="n">
        <x:f>VLOOKUP(D52,Supuestos!$A$12:$F$15,3,FALSE)</x:f>
        <x:v>0.3</x:v>
      </x:c>
      <x:c r="G52" s="50" t="n">
        <x:f>SUMIFS(Fuente!$C$6:$C$37,Fuente!$A$6:$A$37,C52,Fuente!$B$6:$B$37,E52)</x:f>
        <x:v>2171</x:v>
      </x:c>
      <x:c r="H52" s="51" t="n">
        <x:f>VLOOKUP(C52,Supuestos!$A$22:$B$37,2,FALSE)</x:f>
        <x:v>45</x:v>
      </x:c>
      <x:c r="I52" s="51" t="n">
        <x:f>VLOOKUP(D52,Supuestos!$A$12:$F$15,5,FALSE)</x:f>
        <x:v>1.15</x:v>
      </x:c>
      <x:c r="J52" s="52" t="n">
        <x:f>G52*IF(E52=1,F52,1)</x:f>
        <x:v>651.3</x:v>
      </x:c>
      <x:c r="K52" s="51" t="n">
        <x:f>H52*I52</x:f>
        <x:v>51.74999999999999</x:v>
      </x:c>
      <x:c r="L52" s="51" t="n">
        <x:f>ABS(J52*K52)</x:f>
        <x:v>33704.774999999994</x:v>
      </x:c>
      <x:c r="M52" s="49" t="n">
        <x:f>VLOOKUP(D52,Supuestos!$A$12:$F$15,4,FALSE)</x:f>
        <x:v>0.1</x:v>
      </x:c>
      <x:c r="N52" s="49" t="n">
        <x:f>VLOOKUP(D52,Supuestos!$A$12:$F$15,6,FALSE)</x:f>
        <x:v>0.02</x:v>
      </x:c>
      <x:c r="O52" s="52" t="n">
        <x:f>J52*(1+M52)</x:f>
        <x:v>716.4300000000001</x:v>
      </x:c>
      <x:c r="P52" s="51" t="n">
        <x:f>K52*(1+N52)</x:f>
        <x:v>52.785</x:v>
      </x:c>
      <x:c r="Q52" s="51" t="n">
        <x:f>ABS(O52*P52)</x:f>
        <x:v>37816.75755</x:v>
      </x:c>
      <x:c r="R52" s="51" t="n">
        <x:f>Q52-L52</x:f>
        <x:v>4111.982550000008</x:v>
      </x:c>
      <x:c r="S52" s="51" t="n">
        <x:f>(O52-J52)*K52</x:f>
        <x:v>3370.477500000005</x:v>
      </x:c>
      <x:c r="T52" s="51" t="n">
        <x:f>J52*(P52-K52)</x:f>
        <x:v>674.0955000000024</x:v>
      </x:c>
      <x:c r="U52" s="51" t="n">
        <x:f>(O52-J52)*(P52-K52)</x:f>
        <x:v>67.40955000000035</x:v>
      </x:c>
      <x:c r="V52" s="51" t="n">
        <x:f>ROUND(R52-SUM(S52:U52),2)</x:f>
        <x:v>0</x:v>
      </x:c>
    </x:row>
    <x:row r="53">
      <x:c r="A53" s="13" t="n">
        <x:v>2025</x:v>
      </x:c>
      <x:c r="B53" s="13" t="str">
        <x:v>Base</x:v>
      </x:c>
      <x:c r="C53" s="13" t="str">
        <x:v>Rendimiento</x:v>
      </x:c>
      <x:c r="D53" s="13" t="str">
        <x:v>ATM</x:v>
      </x:c>
      <x:c r="E53" s="13" t="n">
        <x:v>1</x:v>
      </x:c>
      <x:c r="F53" s="49" t="n">
        <x:f>VLOOKUP(D53,Supuestos!$A$12:$F$15,3,FALSE)</x:f>
        <x:v>0.15</x:v>
      </x:c>
      <x:c r="G53" s="50" t="n">
        <x:f>SUMIFS(Fuente!$C$6:$C$37,Fuente!$A$6:$A$37,C53,Fuente!$B$6:$B$37,E53)</x:f>
        <x:v>2171</x:v>
      </x:c>
      <x:c r="H53" s="51" t="n">
        <x:f>VLOOKUP(C53,Supuestos!$A$22:$B$37,2,FALSE)</x:f>
        <x:v>45</x:v>
      </x:c>
      <x:c r="I53" s="51" t="n">
        <x:f>VLOOKUP(D53,Supuestos!$A$12:$F$15,5,FALSE)</x:f>
        <x:v>0.75</x:v>
      </x:c>
      <x:c r="J53" s="52" t="n">
        <x:f>G53*IF(E53=1,F53,1)</x:f>
        <x:v>325.65</x:v>
      </x:c>
      <x:c r="K53" s="51" t="n">
        <x:f>H53*I53</x:f>
        <x:v>33.75</x:v>
      </x:c>
      <x:c r="L53" s="51" t="n">
        <x:f>ABS(J53*K53)</x:f>
        <x:v>10990.6875</x:v>
      </x:c>
      <x:c r="M53" s="49" t="n">
        <x:f>VLOOKUP(D53,Supuestos!$A$12:$F$15,4,FALSE)</x:f>
        <x:v>0.04</x:v>
      </x:c>
      <x:c r="N53" s="49" t="n">
        <x:f>VLOOKUP(D53,Supuestos!$A$12:$F$15,6,FALSE)</x:f>
        <x:v>0.01</x:v>
      </x:c>
      <x:c r="O53" s="52" t="n">
        <x:f>J53*(1+M53)</x:f>
        <x:v>338.676</x:v>
      </x:c>
      <x:c r="P53" s="51" t="n">
        <x:f>K53*(1+N53)</x:f>
        <x:v>34.0875</x:v>
      </x:c>
      <x:c r="Q53" s="51" t="n">
        <x:f>ABS(O53*P53)</x:f>
        <x:v>11544.618149999998</x:v>
      </x:c>
      <x:c r="R53" s="51" t="n">
        <x:f>Q53-L53</x:f>
        <x:v>553.9306499999984</x:v>
      </x:c>
      <x:c r="S53" s="51" t="n">
        <x:f>(O53-J53)*K53</x:f>
        <x:v>439.62750000000034</x:v>
      </x:c>
      <x:c r="T53" s="51" t="n">
        <x:f>J53*(P53-K53)</x:f>
        <x:v>109.90687499999953</x:v>
      </x:c>
      <x:c r="U53" s="51" t="n">
        <x:f>(O53-J53)*(P53-K53)</x:f>
        <x:v>4.396274999999985</x:v>
      </x:c>
      <x:c r="V53" s="51" t="n">
        <x:f>ROUND(R53-SUM(S53:U53),2)</x:f>
        <x:v>0</x:v>
      </x:c>
    </x:row>
    <x:row r="54">
      <x:c r="A54" s="13" t="n">
        <x:v>2025</x:v>
      </x:c>
      <x:c r="B54" s="13" t="str">
        <x:v>Base</x:v>
      </x:c>
      <x:c r="C54" s="13" t="str">
        <x:v>Retiro</x:v>
      </x:c>
      <x:c r="D54" s="13" t="str">
        <x:v>Sucursal</x:v>
      </x:c>
      <x:c r="E54" s="13" t="n">
        <x:v>0</x:v>
      </x:c>
      <x:c r="F54" s="49" t="n">
        <x:f>VLOOKUP(D54,Supuestos!$A$12:$F$15,3,FALSE)</x:f>
        <x:v>0</x:v>
      </x:c>
      <x:c r="G54" s="50" t="n">
        <x:f>SUMIFS(Fuente!$C$6:$C$37,Fuente!$A$6:$A$37,C54,Fuente!$B$6:$B$37,E54)</x:f>
        <x:v>869</x:v>
      </x:c>
      <x:c r="H54" s="51" t="n">
        <x:f>VLOOKUP(C54,Supuestos!$A$22:$B$37,2,FALSE)</x:f>
        <x:v>140</x:v>
      </x:c>
      <x:c r="I54" s="51" t="n">
        <x:f>VLOOKUP(D54,Supuestos!$A$12:$F$15,5,FALSE)</x:f>
        <x:v>1</x:v>
      </x:c>
      <x:c r="J54" s="52" t="n">
        <x:f>G54*IF(E54=1,F54,1)</x:f>
        <x:v>869</x:v>
      </x:c>
      <x:c r="K54" s="51" t="n">
        <x:f>H54*I54</x:f>
        <x:v>140</x:v>
      </x:c>
      <x:c r="L54" s="51" t="n">
        <x:f>ABS(J54*K54)</x:f>
        <x:v>121660</x:v>
      </x:c>
      <x:c r="M54" s="49" t="n">
        <x:f>VLOOKUP(D54,Supuestos!$A$12:$F$15,4,FALSE)</x:f>
        <x:v>-0.08</x:v>
      </x:c>
      <x:c r="N54" s="49" t="n">
        <x:f>VLOOKUP(D54,Supuestos!$A$12:$F$15,6,FALSE)</x:f>
        <x:v>0.01</x:v>
      </x:c>
      <x:c r="O54" s="52" t="n">
        <x:f>J54*(1+M54)</x:f>
        <x:v>799.48</x:v>
      </x:c>
      <x:c r="P54" s="51" t="n">
        <x:f>K54*(1+N54)</x:f>
        <x:v>141.4</x:v>
      </x:c>
      <x:c r="Q54" s="51" t="n">
        <x:f>ABS(O54*P54)</x:f>
        <x:v>113046.47200000001</x:v>
      </x:c>
      <x:c r="R54" s="51" t="n">
        <x:f>Q54-L54</x:f>
        <x:v>-8613.527999999991</x:v>
      </x:c>
      <x:c r="S54" s="51" t="n">
        <x:f>(O54-J54)*K54</x:f>
        <x:v>-9732.799999999997</x:v>
      </x:c>
      <x:c r="T54" s="51" t="n">
        <x:f>J54*(P54-K54)</x:f>
        <x:v>1216.600000000005</x:v>
      </x:c>
      <x:c r="U54" s="51" t="n">
        <x:f>(O54-J54)*(P54-K54)</x:f>
        <x:v>-97.32800000000037</x:v>
      </x:c>
      <x:c r="V54" s="51" t="n">
        <x:f>ROUND(R54-SUM(S54:U54),2)</x:f>
        <x:v>0</x:v>
      </x:c>
    </x:row>
    <x:row r="55">
      <x:c r="A55" s="13" t="n">
        <x:v>2025</x:v>
      </x:c>
      <x:c r="B55" s="13" t="str">
        <x:v>Base</x:v>
      </x:c>
      <x:c r="C55" s="13" t="str">
        <x:v>Retiro</x:v>
      </x:c>
      <x:c r="D55" s="13" t="str">
        <x:v>App móvil</x:v>
      </x:c>
      <x:c r="E55" s="13" t="n">
        <x:v>1</x:v>
      </x:c>
      <x:c r="F55" s="49" t="n">
        <x:f>VLOOKUP(D55,Supuestos!$A$12:$F$15,3,FALSE)</x:f>
        <x:v>0.55</x:v>
      </x:c>
      <x:c r="G55" s="50" t="n">
        <x:f>SUMIFS(Fuente!$C$6:$C$37,Fuente!$A$6:$A$37,C55,Fuente!$B$6:$B$37,E55)</x:f>
        <x:v>3610</x:v>
      </x:c>
      <x:c r="H55" s="51" t="n">
        <x:f>VLOOKUP(C55,Supuestos!$A$22:$B$37,2,FALSE)</x:f>
        <x:v>140</x:v>
      </x:c>
      <x:c r="I55" s="51" t="n">
        <x:f>VLOOKUP(D55,Supuestos!$A$12:$F$15,5,FALSE)</x:f>
        <x:v>0.9</x:v>
      </x:c>
      <x:c r="J55" s="52" t="n">
        <x:f>G55*IF(E55=1,F55,1)</x:f>
        <x:v>1985.5000000000002</x:v>
      </x:c>
      <x:c r="K55" s="51" t="n">
        <x:f>H55*I55</x:f>
        <x:v>126</x:v>
      </x:c>
      <x:c r="L55" s="51" t="n">
        <x:f>ABS(J55*K55)</x:f>
        <x:v>250173.00000000003</x:v>
      </x:c>
      <x:c r="M55" s="49" t="n">
        <x:f>VLOOKUP(D55,Supuestos!$A$12:$F$15,4,FALSE)</x:f>
        <x:v>0.18</x:v>
      </x:c>
      <x:c r="N55" s="49" t="n">
        <x:f>VLOOKUP(D55,Supuestos!$A$12:$F$15,6,FALSE)</x:f>
        <x:v>0.03</x:v>
      </x:c>
      <x:c r="O55" s="52" t="n">
        <x:f>J55*(1+M55)</x:f>
        <x:v>2342.8900000000003</x:v>
      </x:c>
      <x:c r="P55" s="51" t="n">
        <x:f>K55*(1+N55)</x:f>
        <x:v>129.78</x:v>
      </x:c>
      <x:c r="Q55" s="51" t="n">
        <x:f>ABS(O55*P55)</x:f>
        <x:v>304060.26420000003</x:v>
      </x:c>
      <x:c r="R55" s="51" t="n">
        <x:f>Q55-L55</x:f>
        <x:v>53887.264200000005</x:v>
      </x:c>
      <x:c r="S55" s="51" t="n">
        <x:f>(O55-J55)*K55</x:f>
        <x:v>45031.140000000014</x:v>
      </x:c>
      <x:c r="T55" s="51" t="n">
        <x:f>J55*(P55-K55)</x:f>
        <x:v>7505.190000000003</x:v>
      </x:c>
      <x:c r="U55" s="51" t="n">
        <x:f>(O55-J55)*(P55-K55)</x:f>
        <x:v>1350.9342000000008</x:v>
      </x:c>
      <x:c r="V55" s="51" t="n">
        <x:f>ROUND(R55-SUM(S55:U55),2)</x:f>
        <x:v>0</x:v>
      </x:c>
    </x:row>
    <x:row r="56">
      <x:c r="A56" s="13" t="n">
        <x:v>2025</x:v>
      </x:c>
      <x:c r="B56" s="13" t="str">
        <x:v>Base</x:v>
      </x:c>
      <x:c r="C56" s="13" t="str">
        <x:v>Retiro</x:v>
      </x:c>
      <x:c r="D56" s="13" t="str">
        <x:v>Banca web</x:v>
      </x:c>
      <x:c r="E56" s="13" t="n">
        <x:v>1</x:v>
      </x:c>
      <x:c r="F56" s="49" t="n">
        <x:f>VLOOKUP(D56,Supuestos!$A$12:$F$15,3,FALSE)</x:f>
        <x:v>0.3</x:v>
      </x:c>
      <x:c r="G56" s="50" t="n">
        <x:f>SUMIFS(Fuente!$C$6:$C$37,Fuente!$A$6:$A$37,C56,Fuente!$B$6:$B$37,E56)</x:f>
        <x:v>3610</x:v>
      </x:c>
      <x:c r="H56" s="51" t="n">
        <x:f>VLOOKUP(C56,Supuestos!$A$22:$B$37,2,FALSE)</x:f>
        <x:v>140</x:v>
      </x:c>
      <x:c r="I56" s="51" t="n">
        <x:f>VLOOKUP(D56,Supuestos!$A$12:$F$15,5,FALSE)</x:f>
        <x:v>1.15</x:v>
      </x:c>
      <x:c r="J56" s="52" t="n">
        <x:f>G56*IF(E56=1,F56,1)</x:f>
        <x:v>1083</x:v>
      </x:c>
      <x:c r="K56" s="51" t="n">
        <x:f>H56*I56</x:f>
        <x:v>161</x:v>
      </x:c>
      <x:c r="L56" s="51" t="n">
        <x:f>ABS(J56*K56)</x:f>
        <x:v>174363</x:v>
      </x:c>
      <x:c r="M56" s="49" t="n">
        <x:f>VLOOKUP(D56,Supuestos!$A$12:$F$15,4,FALSE)</x:f>
        <x:v>0.1</x:v>
      </x:c>
      <x:c r="N56" s="49" t="n">
        <x:f>VLOOKUP(D56,Supuestos!$A$12:$F$15,6,FALSE)</x:f>
        <x:v>0.02</x:v>
      </x:c>
      <x:c r="O56" s="52" t="n">
        <x:f>J56*(1+M56)</x:f>
        <x:v>1191.3000000000002</x:v>
      </x:c>
      <x:c r="P56" s="51" t="n">
        <x:f>K56*(1+N56)</x:f>
        <x:v>164.22</x:v>
      </x:c>
      <x:c r="Q56" s="51" t="n">
        <x:f>ABS(O56*P56)</x:f>
        <x:v>195635.28600000002</x:v>
      </x:c>
      <x:c r="R56" s="51" t="n">
        <x:f>Q56-L56</x:f>
        <x:v>21272.286000000022</x:v>
      </x:c>
      <x:c r="S56" s="51" t="n">
        <x:f>(O56-J56)*K56</x:f>
        <x:v>17436.30000000003</x:v>
      </x:c>
      <x:c r="T56" s="51" t="n">
        <x:f>J56*(P56-K56)</x:f>
        <x:v>3487.259999999999</x:v>
      </x:c>
      <x:c r="U56" s="51" t="n">
        <x:f>(O56-J56)*(P56-K56)</x:f>
        <x:v>348.72600000000045</x:v>
      </x:c>
      <x:c r="V56" s="51" t="n">
        <x:f>ROUND(R56-SUM(S56:U56),2)</x:f>
        <x:v>0</x:v>
      </x:c>
    </x:row>
    <x:row r="57">
      <x:c r="A57" s="13" t="n">
        <x:v>2025</x:v>
      </x:c>
      <x:c r="B57" s="13" t="str">
        <x:v>Base</x:v>
      </x:c>
      <x:c r="C57" s="13" t="str">
        <x:v>Retiro</x:v>
      </x:c>
      <x:c r="D57" s="13" t="str">
        <x:v>ATM</x:v>
      </x:c>
      <x:c r="E57" s="13" t="n">
        <x:v>1</x:v>
      </x:c>
      <x:c r="F57" s="49" t="n">
        <x:f>VLOOKUP(D57,Supuestos!$A$12:$F$15,3,FALSE)</x:f>
        <x:v>0.15</x:v>
      </x:c>
      <x:c r="G57" s="50" t="n">
        <x:f>SUMIFS(Fuente!$C$6:$C$37,Fuente!$A$6:$A$37,C57,Fuente!$B$6:$B$37,E57)</x:f>
        <x:v>3610</x:v>
      </x:c>
      <x:c r="H57" s="51" t="n">
        <x:f>VLOOKUP(C57,Supuestos!$A$22:$B$37,2,FALSE)</x:f>
        <x:v>140</x:v>
      </x:c>
      <x:c r="I57" s="51" t="n">
        <x:f>VLOOKUP(D57,Supuestos!$A$12:$F$15,5,FALSE)</x:f>
        <x:v>0.75</x:v>
      </x:c>
      <x:c r="J57" s="52" t="n">
        <x:f>G57*IF(E57=1,F57,1)</x:f>
        <x:v>541.5</x:v>
      </x:c>
      <x:c r="K57" s="51" t="n">
        <x:f>H57*I57</x:f>
        <x:v>105</x:v>
      </x:c>
      <x:c r="L57" s="51" t="n">
        <x:f>ABS(J57*K57)</x:f>
        <x:v>56857.5</x:v>
      </x:c>
      <x:c r="M57" s="49" t="n">
        <x:f>VLOOKUP(D57,Supuestos!$A$12:$F$15,4,FALSE)</x:f>
        <x:v>0.04</x:v>
      </x:c>
      <x:c r="N57" s="49" t="n">
        <x:f>VLOOKUP(D57,Supuestos!$A$12:$F$15,6,FALSE)</x:f>
        <x:v>0.01</x:v>
      </x:c>
      <x:c r="O57" s="52" t="n">
        <x:f>J57*(1+M57)</x:f>
        <x:v>563.16</x:v>
      </x:c>
      <x:c r="P57" s="51" t="n">
        <x:f>K57*(1+N57)</x:f>
        <x:v>106.05</x:v>
      </x:c>
      <x:c r="Q57" s="51" t="n">
        <x:f>ABS(O57*P57)</x:f>
        <x:v>59723.117999999995</x:v>
      </x:c>
      <x:c r="R57" s="51" t="n">
        <x:f>Q57-L57</x:f>
        <x:v>2865.617999999995</x:v>
      </x:c>
      <x:c r="S57" s="51" t="n">
        <x:f>(O57-J57)*K57</x:f>
        <x:v>2274.2999999999965</x:v>
      </x:c>
      <x:c r="T57" s="51" t="n">
        <x:f>J57*(P57-K57)</x:f>
        <x:v>568.5749999999985</x:v>
      </x:c>
      <x:c r="U57" s="51" t="n">
        <x:f>(O57-J57)*(P57-K57)</x:f>
        <x:v>22.742999999999906</x:v>
      </x:c>
      <x:c r="V57" s="51" t="n">
        <x:f>ROUND(R57-SUM(S57:U57),2)</x:f>
        <x:v>0</x:v>
      </x:c>
    </x:row>
    <x:row r="58">
      <x:c r="A58" s="13" t="n">
        <x:v>2025</x:v>
      </x:c>
      <x:c r="B58" s="13" t="str">
        <x:v>Base</x:v>
      </x:c>
      <x:c r="C58" s="13" t="str">
        <x:v>Retiro de inversión</x:v>
      </x:c>
      <x:c r="D58" s="13" t="str">
        <x:v>Sucursal</x:v>
      </x:c>
      <x:c r="E58" s="13" t="n">
        <x:v>0</x:v>
      </x:c>
      <x:c r="F58" s="49" t="n">
        <x:f>VLOOKUP(D58,Supuestos!$A$12:$F$15,3,FALSE)</x:f>
        <x:v>0</x:v>
      </x:c>
      <x:c r="G58" s="50" t="n">
        <x:f>SUMIFS(Fuente!$C$6:$C$37,Fuente!$A$6:$A$37,C58,Fuente!$B$6:$B$37,E58)</x:f>
        <x:v>737</x:v>
      </x:c>
      <x:c r="H58" s="51" t="n">
        <x:f>VLOOKUP(C58,Supuestos!$A$22:$B$37,2,FALSE)</x:f>
        <x:v>800</x:v>
      </x:c>
      <x:c r="I58" s="51" t="n">
        <x:f>VLOOKUP(D58,Supuestos!$A$12:$F$15,5,FALSE)</x:f>
        <x:v>1</x:v>
      </x:c>
      <x:c r="J58" s="52" t="n">
        <x:f>G58*IF(E58=1,F58,1)</x:f>
        <x:v>737</x:v>
      </x:c>
      <x:c r="K58" s="51" t="n">
        <x:f>H58*I58</x:f>
        <x:v>800</x:v>
      </x:c>
      <x:c r="L58" s="51" t="n">
        <x:f>ABS(J58*K58)</x:f>
        <x:v>589600</x:v>
      </x:c>
      <x:c r="M58" s="49" t="n">
        <x:f>VLOOKUP(D58,Supuestos!$A$12:$F$15,4,FALSE)</x:f>
        <x:v>-0.08</x:v>
      </x:c>
      <x:c r="N58" s="49" t="n">
        <x:f>VLOOKUP(D58,Supuestos!$A$12:$F$15,6,FALSE)</x:f>
        <x:v>0.01</x:v>
      </x:c>
      <x:c r="O58" s="52" t="n">
        <x:f>J58*(1+M58)</x:f>
        <x:v>678.0400000000001</x:v>
      </x:c>
      <x:c r="P58" s="51" t="n">
        <x:f>K58*(1+N58)</x:f>
        <x:v>808</x:v>
      </x:c>
      <x:c r="Q58" s="51" t="n">
        <x:f>ABS(O58*P58)</x:f>
        <x:v>547856.3200000001</x:v>
      </x:c>
      <x:c r="R58" s="51" t="n">
        <x:f>Q58-L58</x:f>
        <x:v>-41743.679999999935</x:v>
      </x:c>
      <x:c r="S58" s="51" t="n">
        <x:f>(O58-J58)*K58</x:f>
        <x:v>-47167.99999999994</x:v>
      </x:c>
      <x:c r="T58" s="51" t="n">
        <x:f>J58*(P58-K58)</x:f>
        <x:v>5896</x:v>
      </x:c>
      <x:c r="U58" s="51" t="n">
        <x:f>(O58-J58)*(P58-K58)</x:f>
        <x:v>-471.6799999999994</x:v>
      </x:c>
      <x:c r="V58" s="51" t="n">
        <x:f>ROUND(R58-SUM(S58:U58),2)</x:f>
        <x:v>0</x:v>
      </x:c>
    </x:row>
    <x:row r="59">
      <x:c r="A59" s="13" t="n">
        <x:v>2025</x:v>
      </x:c>
      <x:c r="B59" s="13" t="str">
        <x:v>Base</x:v>
      </x:c>
      <x:c r="C59" s="13" t="str">
        <x:v>Retiro de inversión</x:v>
      </x:c>
      <x:c r="D59" s="13" t="str">
        <x:v>App móvil</x:v>
      </x:c>
      <x:c r="E59" s="13" t="n">
        <x:v>1</x:v>
      </x:c>
      <x:c r="F59" s="49" t="n">
        <x:f>VLOOKUP(D59,Supuestos!$A$12:$F$15,3,FALSE)</x:f>
        <x:v>0.55</x:v>
      </x:c>
      <x:c r="G59" s="50" t="n">
        <x:f>SUMIFS(Fuente!$C$6:$C$37,Fuente!$A$6:$A$37,C59,Fuente!$B$6:$B$37,E59)</x:f>
        <x:v>2222</x:v>
      </x:c>
      <x:c r="H59" s="51" t="n">
        <x:f>VLOOKUP(C59,Supuestos!$A$22:$B$37,2,FALSE)</x:f>
        <x:v>800</x:v>
      </x:c>
      <x:c r="I59" s="51" t="n">
        <x:f>VLOOKUP(D59,Supuestos!$A$12:$F$15,5,FALSE)</x:f>
        <x:v>0.9</x:v>
      </x:c>
      <x:c r="J59" s="52" t="n">
        <x:f>G59*IF(E59=1,F59,1)</x:f>
        <x:v>1222.1000000000001</x:v>
      </x:c>
      <x:c r="K59" s="51" t="n">
        <x:f>H59*I59</x:f>
        <x:v>720</x:v>
      </x:c>
      <x:c r="L59" s="51" t="n">
        <x:f>ABS(J59*K59)</x:f>
        <x:v>879912.0000000001</x:v>
      </x:c>
      <x:c r="M59" s="49" t="n">
        <x:f>VLOOKUP(D59,Supuestos!$A$12:$F$15,4,FALSE)</x:f>
        <x:v>0.18</x:v>
      </x:c>
      <x:c r="N59" s="49" t="n">
        <x:f>VLOOKUP(D59,Supuestos!$A$12:$F$15,6,FALSE)</x:f>
        <x:v>0.03</x:v>
      </x:c>
      <x:c r="O59" s="52" t="n">
        <x:f>J59*(1+M59)</x:f>
        <x:v>1442.078</x:v>
      </x:c>
      <x:c r="P59" s="51" t="n">
        <x:f>K59*(1+N59)</x:f>
        <x:v>741.6</x:v>
      </x:c>
      <x:c r="Q59" s="51" t="n">
        <x:f>ABS(O59*P59)</x:f>
        <x:v>1069445.0448</x:v>
      </x:c>
      <x:c r="R59" s="51" t="n">
        <x:f>Q59-L59</x:f>
        <x:v>189533.04479999992</x:v>
      </x:c>
      <x:c r="S59" s="51" t="n">
        <x:f>(O59-J59)*K59</x:f>
        <x:v>158384.1599999999</x:v>
      </x:c>
      <x:c r="T59" s="51" t="n">
        <x:f>J59*(P59-K59)</x:f>
        <x:v>26397.36000000003</x:v>
      </x:c>
      <x:c r="U59" s="51" t="n">
        <x:f>(O59-J59)*(P59-K59)</x:f>
        <x:v>4751.524800000001</x:v>
      </x:c>
      <x:c r="V59" s="51" t="n">
        <x:f>ROUND(R59-SUM(S59:U59),2)</x:f>
        <x:v>0</x:v>
      </x:c>
    </x:row>
    <x:row r="60">
      <x:c r="A60" s="13" t="n">
        <x:v>2025</x:v>
      </x:c>
      <x:c r="B60" s="13" t="str">
        <x:v>Base</x:v>
      </x:c>
      <x:c r="C60" s="13" t="str">
        <x:v>Retiro de inversión</x:v>
      </x:c>
      <x:c r="D60" s="13" t="str">
        <x:v>Banca web</x:v>
      </x:c>
      <x:c r="E60" s="13" t="n">
        <x:v>1</x:v>
      </x:c>
      <x:c r="F60" s="49" t="n">
        <x:f>VLOOKUP(D60,Supuestos!$A$12:$F$15,3,FALSE)</x:f>
        <x:v>0.3</x:v>
      </x:c>
      <x:c r="G60" s="50" t="n">
        <x:f>SUMIFS(Fuente!$C$6:$C$37,Fuente!$A$6:$A$37,C60,Fuente!$B$6:$B$37,E60)</x:f>
        <x:v>2222</x:v>
      </x:c>
      <x:c r="H60" s="51" t="n">
        <x:f>VLOOKUP(C60,Supuestos!$A$22:$B$37,2,FALSE)</x:f>
        <x:v>800</x:v>
      </x:c>
      <x:c r="I60" s="51" t="n">
        <x:f>VLOOKUP(D60,Supuestos!$A$12:$F$15,5,FALSE)</x:f>
        <x:v>1.15</x:v>
      </x:c>
      <x:c r="J60" s="52" t="n">
        <x:f>G60*IF(E60=1,F60,1)</x:f>
        <x:v>666.6</x:v>
      </x:c>
      <x:c r="K60" s="51" t="n">
        <x:f>H60*I60</x:f>
        <x:v>919.9999999999999</x:v>
      </x:c>
      <x:c r="L60" s="51" t="n">
        <x:f>ABS(J60*K60)</x:f>
        <x:v>613272</x:v>
      </x:c>
      <x:c r="M60" s="49" t="n">
        <x:f>VLOOKUP(D60,Supuestos!$A$12:$F$15,4,FALSE)</x:f>
        <x:v>0.1</x:v>
      </x:c>
      <x:c r="N60" s="49" t="n">
        <x:f>VLOOKUP(D60,Supuestos!$A$12:$F$15,6,FALSE)</x:f>
        <x:v>0.02</x:v>
      </x:c>
      <x:c r="O60" s="52" t="n">
        <x:f>J60*(1+M60)</x:f>
        <x:v>733.2600000000001</x:v>
      </x:c>
      <x:c r="P60" s="51" t="n">
        <x:f>K60*(1+N60)</x:f>
        <x:v>938.3999999999999</x:v>
      </x:c>
      <x:c r="Q60" s="51" t="n">
        <x:f>ABS(O60*P60)</x:f>
        <x:v>688091.184</x:v>
      </x:c>
      <x:c r="R60" s="51" t="n">
        <x:f>Q60-L60</x:f>
        <x:v>74819.18400000001</x:v>
      </x:c>
      <x:c r="S60" s="51" t="n">
        <x:f>(O60-J60)*K60</x:f>
        <x:v>61327.20000000007</x:v>
      </x:c>
      <x:c r="T60" s="51" t="n">
        <x:f>J60*(P60-K60)</x:f>
        <x:v>12265.439999999986</x:v>
      </x:c>
      <x:c r="U60" s="51" t="n">
        <x:f>(O60-J60)*(P60-K60)</x:f>
        <x:v>1226.544</x:v>
      </x:c>
      <x:c r="V60" s="51" t="n">
        <x:f>ROUND(R60-SUM(S60:U60),2)</x:f>
        <x:v>0</x:v>
      </x:c>
    </x:row>
    <x:row r="61">
      <x:c r="A61" s="13" t="n">
        <x:v>2025</x:v>
      </x:c>
      <x:c r="B61" s="13" t="str">
        <x:v>Base</x:v>
      </x:c>
      <x:c r="C61" s="13" t="str">
        <x:v>Retiro de inversión</x:v>
      </x:c>
      <x:c r="D61" s="13" t="str">
        <x:v>ATM</x:v>
      </x:c>
      <x:c r="E61" s="13" t="n">
        <x:v>1</x:v>
      </x:c>
      <x:c r="F61" s="49" t="n">
        <x:f>VLOOKUP(D61,Supuestos!$A$12:$F$15,3,FALSE)</x:f>
        <x:v>0.15</x:v>
      </x:c>
      <x:c r="G61" s="50" t="n">
        <x:f>SUMIFS(Fuente!$C$6:$C$37,Fuente!$A$6:$A$37,C61,Fuente!$B$6:$B$37,E61)</x:f>
        <x:v>2222</x:v>
      </x:c>
      <x:c r="H61" s="51" t="n">
        <x:f>VLOOKUP(C61,Supuestos!$A$22:$B$37,2,FALSE)</x:f>
        <x:v>800</x:v>
      </x:c>
      <x:c r="I61" s="51" t="n">
        <x:f>VLOOKUP(D61,Supuestos!$A$12:$F$15,5,FALSE)</x:f>
        <x:v>0.75</x:v>
      </x:c>
      <x:c r="J61" s="52" t="n">
        <x:f>G61*IF(E61=1,F61,1)</x:f>
        <x:v>333.3</x:v>
      </x:c>
      <x:c r="K61" s="51" t="n">
        <x:f>H61*I61</x:f>
        <x:v>600</x:v>
      </x:c>
      <x:c r="L61" s="51" t="n">
        <x:f>ABS(J61*K61)</x:f>
        <x:v>199980</x:v>
      </x:c>
      <x:c r="M61" s="49" t="n">
        <x:f>VLOOKUP(D61,Supuestos!$A$12:$F$15,4,FALSE)</x:f>
        <x:v>0.04</x:v>
      </x:c>
      <x:c r="N61" s="49" t="n">
        <x:f>VLOOKUP(D61,Supuestos!$A$12:$F$15,6,FALSE)</x:f>
        <x:v>0.01</x:v>
      </x:c>
      <x:c r="O61" s="52" t="n">
        <x:f>J61*(1+M61)</x:f>
        <x:v>346.632</x:v>
      </x:c>
      <x:c r="P61" s="51" t="n">
        <x:f>K61*(1+N61)</x:f>
        <x:v>606</x:v>
      </x:c>
      <x:c r="Q61" s="51" t="n">
        <x:f>ABS(O61*P61)</x:f>
        <x:v>210058.992</x:v>
      </x:c>
      <x:c r="R61" s="51" t="n">
        <x:f>Q61-L61</x:f>
        <x:v>10078.991999999998</x:v>
      </x:c>
      <x:c r="S61" s="51" t="n">
        <x:f>(O61-J61)*K61</x:f>
        <x:v>7999.199999999996</x:v>
      </x:c>
      <x:c r="T61" s="51" t="n">
        <x:f>J61*(P61-K61)</x:f>
        <x:v>1999.8000000000002</x:v>
      </x:c>
      <x:c r="U61" s="51" t="n">
        <x:f>(O61-J61)*(P61-K61)</x:f>
        <x:v>79.99199999999996</x:v>
      </x:c>
      <x:c r="V61" s="51" t="n">
        <x:f>ROUND(R61-SUM(S61:U61),2)</x:f>
        <x:v>0</x:v>
      </x:c>
    </x:row>
    <x:row r="62">
      <x:c r="A62" s="13" t="n">
        <x:v>2025</x:v>
      </x:c>
      <x:c r="B62" s="13" t="str">
        <x:v>Base</x:v>
      </x:c>
      <x:c r="C62" s="13" t="str">
        <x:v>Transferencia enviada</x:v>
      </x:c>
      <x:c r="D62" s="13" t="str">
        <x:v>Sucursal</x:v>
      </x:c>
      <x:c r="E62" s="13" t="n">
        <x:v>0</x:v>
      </x:c>
      <x:c r="F62" s="49" t="n">
        <x:f>VLOOKUP(D62,Supuestos!$A$12:$F$15,3,FALSE)</x:f>
        <x:v>0</x:v>
      </x:c>
      <x:c r="G62" s="50" t="n">
        <x:f>SUMIFS(Fuente!$C$6:$C$37,Fuente!$A$6:$A$37,C62,Fuente!$B$6:$B$37,E62)</x:f>
        <x:v>908</x:v>
      </x:c>
      <x:c r="H62" s="51" t="n">
        <x:f>VLOOKUP(C62,Supuestos!$A$22:$B$37,2,FALSE)</x:f>
        <x:v>500</x:v>
      </x:c>
      <x:c r="I62" s="51" t="n">
        <x:f>VLOOKUP(D62,Supuestos!$A$12:$F$15,5,FALSE)</x:f>
        <x:v>1</x:v>
      </x:c>
      <x:c r="J62" s="52" t="n">
        <x:f>G62*IF(E62=1,F62,1)</x:f>
        <x:v>908</x:v>
      </x:c>
      <x:c r="K62" s="51" t="n">
        <x:f>H62*I62</x:f>
        <x:v>500</x:v>
      </x:c>
      <x:c r="L62" s="51" t="n">
        <x:f>ABS(J62*K62)</x:f>
        <x:v>454000</x:v>
      </x:c>
      <x:c r="M62" s="49" t="n">
        <x:f>VLOOKUP(D62,Supuestos!$A$12:$F$15,4,FALSE)</x:f>
        <x:v>-0.08</x:v>
      </x:c>
      <x:c r="N62" s="49" t="n">
        <x:f>VLOOKUP(D62,Supuestos!$A$12:$F$15,6,FALSE)</x:f>
        <x:v>0.01</x:v>
      </x:c>
      <x:c r="O62" s="52" t="n">
        <x:f>J62*(1+M62)</x:f>
        <x:v>835.36</x:v>
      </x:c>
      <x:c r="P62" s="51" t="n">
        <x:f>K62*(1+N62)</x:f>
        <x:v>505</x:v>
      </x:c>
      <x:c r="Q62" s="51" t="n">
        <x:f>ABS(O62*P62)</x:f>
        <x:v>421856.8</x:v>
      </x:c>
      <x:c r="R62" s="51" t="n">
        <x:f>Q62-L62</x:f>
        <x:v>-32143.20000000001</x:v>
      </x:c>
      <x:c r="S62" s="51" t="n">
        <x:f>(O62-J62)*K62</x:f>
        <x:v>-36319.99999999999</x:v>
      </x:c>
      <x:c r="T62" s="51" t="n">
        <x:f>J62*(P62-K62)</x:f>
        <x:v>4540</x:v>
      </x:c>
      <x:c r="U62" s="51" t="n">
        <x:f>(O62-J62)*(P62-K62)</x:f>
        <x:v>-363.19999999999993</x:v>
      </x:c>
      <x:c r="V62" s="51" t="n">
        <x:f>ROUND(R62-SUM(S62:U62),2)</x:f>
        <x:v>0</x:v>
      </x:c>
    </x:row>
    <x:row r="63">
      <x:c r="A63" s="13" t="n">
        <x:v>2025</x:v>
      </x:c>
      <x:c r="B63" s="13" t="str">
        <x:v>Base</x:v>
      </x:c>
      <x:c r="C63" s="13" t="str">
        <x:v>Transferencia enviada</x:v>
      </x:c>
      <x:c r="D63" s="13" t="str">
        <x:v>App móvil</x:v>
      </x:c>
      <x:c r="E63" s="13" t="n">
        <x:v>1</x:v>
      </x:c>
      <x:c r="F63" s="49" t="n">
        <x:f>VLOOKUP(D63,Supuestos!$A$12:$F$15,3,FALSE)</x:f>
        <x:v>0.55</x:v>
      </x:c>
      <x:c r="G63" s="50" t="n">
        <x:f>SUMIFS(Fuente!$C$6:$C$37,Fuente!$A$6:$A$37,C63,Fuente!$B$6:$B$37,E63)</x:f>
        <x:v>3645</x:v>
      </x:c>
      <x:c r="H63" s="51" t="n">
        <x:f>VLOOKUP(C63,Supuestos!$A$22:$B$37,2,FALSE)</x:f>
        <x:v>500</x:v>
      </x:c>
      <x:c r="I63" s="51" t="n">
        <x:f>VLOOKUP(D63,Supuestos!$A$12:$F$15,5,FALSE)</x:f>
        <x:v>0.9</x:v>
      </x:c>
      <x:c r="J63" s="52" t="n">
        <x:f>G63*IF(E63=1,F63,1)</x:f>
        <x:v>2004.7500000000002</x:v>
      </x:c>
      <x:c r="K63" s="51" t="n">
        <x:f>H63*I63</x:f>
        <x:v>450</x:v>
      </x:c>
      <x:c r="L63" s="51" t="n">
        <x:f>ABS(J63*K63)</x:f>
        <x:v>902137.5000000001</x:v>
      </x:c>
      <x:c r="M63" s="49" t="n">
        <x:f>VLOOKUP(D63,Supuestos!$A$12:$F$15,4,FALSE)</x:f>
        <x:v>0.18</x:v>
      </x:c>
      <x:c r="N63" s="49" t="n">
        <x:f>VLOOKUP(D63,Supuestos!$A$12:$F$15,6,FALSE)</x:f>
        <x:v>0.03</x:v>
      </x:c>
      <x:c r="O63" s="52" t="n">
        <x:f>J63*(1+M63)</x:f>
        <x:v>2365.605</x:v>
      </x:c>
      <x:c r="P63" s="51" t="n">
        <x:f>K63*(1+N63)</x:f>
        <x:v>463.5</x:v>
      </x:c>
      <x:c r="Q63" s="51" t="n">
        <x:f>ABS(O63*P63)</x:f>
        <x:v>1096457.9175</x:v>
      </x:c>
      <x:c r="R63" s="51" t="n">
        <x:f>Q63-L63</x:f>
        <x:v>194320.41749999986</x:v>
      </x:c>
      <x:c r="S63" s="51" t="n">
        <x:f>(O63-J63)*K63</x:f>
        <x:v>162384.7499999999</x:v>
      </x:c>
      <x:c r="T63" s="51" t="n">
        <x:f>J63*(P63-K63)</x:f>
        <x:v>27064.125000000004</x:v>
      </x:c>
      <x:c r="U63" s="51" t="n">
        <x:f>(O63-J63)*(P63-K63)</x:f>
        <x:v>4871.542499999997</x:v>
      </x:c>
      <x:c r="V63" s="51" t="n">
        <x:f>ROUND(R63-SUM(S63:U63),2)</x:f>
        <x:v>0</x:v>
      </x:c>
    </x:row>
    <x:row r="64">
      <x:c r="A64" s="13" t="n">
        <x:v>2025</x:v>
      </x:c>
      <x:c r="B64" s="13" t="str">
        <x:v>Base</x:v>
      </x:c>
      <x:c r="C64" s="13" t="str">
        <x:v>Transferencia enviada</x:v>
      </x:c>
      <x:c r="D64" s="13" t="str">
        <x:v>Banca web</x:v>
      </x:c>
      <x:c r="E64" s="13" t="n">
        <x:v>1</x:v>
      </x:c>
      <x:c r="F64" s="49" t="n">
        <x:f>VLOOKUP(D64,Supuestos!$A$12:$F$15,3,FALSE)</x:f>
        <x:v>0.3</x:v>
      </x:c>
      <x:c r="G64" s="50" t="n">
        <x:f>SUMIFS(Fuente!$C$6:$C$37,Fuente!$A$6:$A$37,C64,Fuente!$B$6:$B$37,E64)</x:f>
        <x:v>3645</x:v>
      </x:c>
      <x:c r="H64" s="51" t="n">
        <x:f>VLOOKUP(C64,Supuestos!$A$22:$B$37,2,FALSE)</x:f>
        <x:v>500</x:v>
      </x:c>
      <x:c r="I64" s="51" t="n">
        <x:f>VLOOKUP(D64,Supuestos!$A$12:$F$15,5,FALSE)</x:f>
        <x:v>1.15</x:v>
      </x:c>
      <x:c r="J64" s="52" t="n">
        <x:f>G64*IF(E64=1,F64,1)</x:f>
        <x:v>1093.5</x:v>
      </x:c>
      <x:c r="K64" s="51" t="n">
        <x:f>H64*I64</x:f>
        <x:v>575</x:v>
      </x:c>
      <x:c r="L64" s="51" t="n">
        <x:f>ABS(J64*K64)</x:f>
        <x:v>628762.5</x:v>
      </x:c>
      <x:c r="M64" s="49" t="n">
        <x:f>VLOOKUP(D64,Supuestos!$A$12:$F$15,4,FALSE)</x:f>
        <x:v>0.1</x:v>
      </x:c>
      <x:c r="N64" s="49" t="n">
        <x:f>VLOOKUP(D64,Supuestos!$A$12:$F$15,6,FALSE)</x:f>
        <x:v>0.02</x:v>
      </x:c>
      <x:c r="O64" s="52" t="n">
        <x:f>J64*(1+M64)</x:f>
        <x:v>1202.8500000000001</x:v>
      </x:c>
      <x:c r="P64" s="51" t="n">
        <x:f>K64*(1+N64)</x:f>
        <x:v>586.5</x:v>
      </x:c>
      <x:c r="Q64" s="51" t="n">
        <x:f>ABS(O64*P64)</x:f>
        <x:v>705471.525</x:v>
      </x:c>
      <x:c r="R64" s="51" t="n">
        <x:f>Q64-L64</x:f>
        <x:v>76709.02500000002</x:v>
      </x:c>
      <x:c r="S64" s="51" t="n">
        <x:f>(O64-J64)*K64</x:f>
        <x:v>62876.25000000008</x:v>
      </x:c>
      <x:c r="T64" s="51" t="n">
        <x:f>J64*(P64-K64)</x:f>
        <x:v>12575.25</x:v>
      </x:c>
      <x:c r="U64" s="51" t="n">
        <x:f>(O64-J64)*(P64-K64)</x:f>
        <x:v>1257.5250000000015</x:v>
      </x:c>
      <x:c r="V64" s="51" t="n">
        <x:f>ROUND(R64-SUM(S64:U64),2)</x:f>
        <x:v>0</x:v>
      </x:c>
    </x:row>
    <x:row r="65">
      <x:c r="A65" s="13" t="n">
        <x:v>2025</x:v>
      </x:c>
      <x:c r="B65" s="13" t="str">
        <x:v>Base</x:v>
      </x:c>
      <x:c r="C65" s="13" t="str">
        <x:v>Transferencia enviada</x:v>
      </x:c>
      <x:c r="D65" s="13" t="str">
        <x:v>ATM</x:v>
      </x:c>
      <x:c r="E65" s="13" t="n">
        <x:v>1</x:v>
      </x:c>
      <x:c r="F65" s="49" t="n">
        <x:f>VLOOKUP(D65,Supuestos!$A$12:$F$15,3,FALSE)</x:f>
        <x:v>0.15</x:v>
      </x:c>
      <x:c r="G65" s="50" t="n">
        <x:f>SUMIFS(Fuente!$C$6:$C$37,Fuente!$A$6:$A$37,C65,Fuente!$B$6:$B$37,E65)</x:f>
        <x:v>3645</x:v>
      </x:c>
      <x:c r="H65" s="51" t="n">
        <x:f>VLOOKUP(C65,Supuestos!$A$22:$B$37,2,FALSE)</x:f>
        <x:v>500</x:v>
      </x:c>
      <x:c r="I65" s="51" t="n">
        <x:f>VLOOKUP(D65,Supuestos!$A$12:$F$15,5,FALSE)</x:f>
        <x:v>0.75</x:v>
      </x:c>
      <x:c r="J65" s="52" t="n">
        <x:f>G65*IF(E65=1,F65,1)</x:f>
        <x:v>546.75</x:v>
      </x:c>
      <x:c r="K65" s="51" t="n">
        <x:f>H65*I65</x:f>
        <x:v>375</x:v>
      </x:c>
      <x:c r="L65" s="51" t="n">
        <x:f>ABS(J65*K65)</x:f>
        <x:v>205031.25</x:v>
      </x:c>
      <x:c r="M65" s="49" t="n">
        <x:f>VLOOKUP(D65,Supuestos!$A$12:$F$15,4,FALSE)</x:f>
        <x:v>0.04</x:v>
      </x:c>
      <x:c r="N65" s="49" t="n">
        <x:f>VLOOKUP(D65,Supuestos!$A$12:$F$15,6,FALSE)</x:f>
        <x:v>0.01</x:v>
      </x:c>
      <x:c r="O65" s="52" t="n">
        <x:f>J65*(1+M65)</x:f>
        <x:v>568.62</x:v>
      </x:c>
      <x:c r="P65" s="51" t="n">
        <x:f>K65*(1+N65)</x:f>
        <x:v>378.75</x:v>
      </x:c>
      <x:c r="Q65" s="51" t="n">
        <x:f>ABS(O65*P65)</x:f>
        <x:v>215364.825</x:v>
      </x:c>
      <x:c r="R65" s="51" t="n">
        <x:f>Q65-L65</x:f>
        <x:v>10333.575000000012</x:v>
      </x:c>
      <x:c r="S65" s="51" t="n">
        <x:f>(O65-J65)*K65</x:f>
        <x:v>8201.250000000002</x:v>
      </x:c>
      <x:c r="T65" s="51" t="n">
        <x:f>J65*(P65-K65)</x:f>
        <x:v>2050.3125</x:v>
      </x:c>
      <x:c r="U65" s="51" t="n">
        <x:f>(O65-J65)*(P65-K65)</x:f>
        <x:v>82.01250000000002</x:v>
      </x:c>
      <x:c r="V65" s="51" t="n">
        <x:f>ROUND(R65-SUM(S65:U65),2)</x:f>
        <x:v>0</x:v>
      </x:c>
    </x:row>
    <x:row r="66">
      <x:c r="A66" s="13" t="n">
        <x:v>2025</x:v>
      </x:c>
      <x:c r="B66" s="13" t="str">
        <x:v>Base</x:v>
      </x:c>
      <x:c r="C66" s="13" t="str">
        <x:v>Transferencia recibida</x:v>
      </x:c>
      <x:c r="D66" s="13" t="str">
        <x:v>Sucursal</x:v>
      </x:c>
      <x:c r="E66" s="13" t="n">
        <x:v>0</x:v>
      </x:c>
      <x:c r="F66" s="49" t="n">
        <x:f>VLOOKUP(D66,Supuestos!$A$12:$F$15,3,FALSE)</x:f>
        <x:v>0</x:v>
      </x:c>
      <x:c r="G66" s="50" t="n">
        <x:f>SUMIFS(Fuente!$C$6:$C$37,Fuente!$A$6:$A$37,C66,Fuente!$B$6:$B$37,E66)</x:f>
        <x:v>896</x:v>
      </x:c>
      <x:c r="H66" s="51" t="n">
        <x:f>VLOOKUP(C66,Supuestos!$A$22:$B$37,2,FALSE)</x:f>
        <x:v>520</x:v>
      </x:c>
      <x:c r="I66" s="51" t="n">
        <x:f>VLOOKUP(D66,Supuestos!$A$12:$F$15,5,FALSE)</x:f>
        <x:v>1</x:v>
      </x:c>
      <x:c r="J66" s="52" t="n">
        <x:f>G66*IF(E66=1,F66,1)</x:f>
        <x:v>896</x:v>
      </x:c>
      <x:c r="K66" s="51" t="n">
        <x:f>H66*I66</x:f>
        <x:v>520</x:v>
      </x:c>
      <x:c r="L66" s="51" t="n">
        <x:f>ABS(J66*K66)</x:f>
        <x:v>465920</x:v>
      </x:c>
      <x:c r="M66" s="49" t="n">
        <x:f>VLOOKUP(D66,Supuestos!$A$12:$F$15,4,FALSE)</x:f>
        <x:v>-0.08</x:v>
      </x:c>
      <x:c r="N66" s="49" t="n">
        <x:f>VLOOKUP(D66,Supuestos!$A$12:$F$15,6,FALSE)</x:f>
        <x:v>0.01</x:v>
      </x:c>
      <x:c r="O66" s="52" t="n">
        <x:f>J66*(1+M66)</x:f>
        <x:v>824.32</x:v>
      </x:c>
      <x:c r="P66" s="51" t="n">
        <x:f>K66*(1+N66)</x:f>
        <x:v>525.2</x:v>
      </x:c>
      <x:c r="Q66" s="51" t="n">
        <x:f>ABS(O66*P66)</x:f>
        <x:v>432932.86400000006</x:v>
      </x:c>
      <x:c r="R66" s="51" t="n">
        <x:f>Q66-L66</x:f>
        <x:v>-32987.13599999994</x:v>
      </x:c>
      <x:c r="S66" s="51" t="n">
        <x:f>(O66-J66)*K66</x:f>
        <x:v>-37273.59999999998</x:v>
      </x:c>
      <x:c r="T66" s="51" t="n">
        <x:f>J66*(P66-K66)</x:f>
        <x:v>4659.200000000041</x:v>
      </x:c>
      <x:c r="U66" s="51" t="n">
        <x:f>(O66-J66)*(P66-K66)</x:f>
        <x:v>-372.736000000003</x:v>
      </x:c>
      <x:c r="V66" s="51" t="n">
        <x:f>ROUND(R66-SUM(S66:U66),2)</x:f>
        <x:v>0</x:v>
      </x:c>
    </x:row>
    <x:row r="67">
      <x:c r="A67" s="13" t="n">
        <x:v>2025</x:v>
      </x:c>
      <x:c r="B67" s="13" t="str">
        <x:v>Base</x:v>
      </x:c>
      <x:c r="C67" s="13" t="str">
        <x:v>Transferencia recibida</x:v>
      </x:c>
      <x:c r="D67" s="13" t="str">
        <x:v>App móvil</x:v>
      </x:c>
      <x:c r="E67" s="13" t="n">
        <x:v>1</x:v>
      </x:c>
      <x:c r="F67" s="49" t="n">
        <x:f>VLOOKUP(D67,Supuestos!$A$12:$F$15,3,FALSE)</x:f>
        <x:v>0.55</x:v>
      </x:c>
      <x:c r="G67" s="50" t="n">
        <x:f>SUMIFS(Fuente!$C$6:$C$37,Fuente!$A$6:$A$37,C67,Fuente!$B$6:$B$37,E67)</x:f>
        <x:v>3673</x:v>
      </x:c>
      <x:c r="H67" s="51" t="n">
        <x:f>VLOOKUP(C67,Supuestos!$A$22:$B$37,2,FALSE)</x:f>
        <x:v>520</x:v>
      </x:c>
      <x:c r="I67" s="51" t="n">
        <x:f>VLOOKUP(D67,Supuestos!$A$12:$F$15,5,FALSE)</x:f>
        <x:v>0.9</x:v>
      </x:c>
      <x:c r="J67" s="52" t="n">
        <x:f>G67*IF(E67=1,F67,1)</x:f>
        <x:v>2020.15</x:v>
      </x:c>
      <x:c r="K67" s="51" t="n">
        <x:f>H67*I67</x:f>
        <x:v>468</x:v>
      </x:c>
      <x:c r="L67" s="51" t="n">
        <x:f>ABS(J67*K67)</x:f>
        <x:v>945430.2000000001</x:v>
      </x:c>
      <x:c r="M67" s="49" t="n">
        <x:f>VLOOKUP(D67,Supuestos!$A$12:$F$15,4,FALSE)</x:f>
        <x:v>0.18</x:v>
      </x:c>
      <x:c r="N67" s="49" t="n">
        <x:f>VLOOKUP(D67,Supuestos!$A$12:$F$15,6,FALSE)</x:f>
        <x:v>0.03</x:v>
      </x:c>
      <x:c r="O67" s="52" t="n">
        <x:f>J67*(1+M67)</x:f>
        <x:v>2383.777</x:v>
      </x:c>
      <x:c r="P67" s="51" t="n">
        <x:f>K67*(1+N67)</x:f>
        <x:v>482.04</x:v>
      </x:c>
      <x:c r="Q67" s="51" t="n">
        <x:f>ABS(O67*P67)</x:f>
        <x:v>1149075.8650800001</x:v>
      </x:c>
      <x:c r="R67" s="51" t="n">
        <x:f>Q67-L67</x:f>
        <x:v>203645.66508000006</x:v>
      </x:c>
      <x:c r="S67" s="51" t="n">
        <x:f>(O67-J67)*K67</x:f>
        <x:v>170177.436</x:v>
      </x:c>
      <x:c r="T67" s="51" t="n">
        <x:f>J67*(P67-K67)</x:f>
        <x:v>28362.906000000043</x:v>
      </x:c>
      <x:c r="U67" s="51" t="n">
        <x:f>(O67-J67)*(P67-K67)</x:f>
        <x:v>5105.3230800000065</x:v>
      </x:c>
      <x:c r="V67" s="51" t="n">
        <x:f>ROUND(R67-SUM(S67:U67),2)</x:f>
        <x:v>0</x:v>
      </x:c>
    </x:row>
    <x:row r="68">
      <x:c r="A68" s="13" t="n">
        <x:v>2025</x:v>
      </x:c>
      <x:c r="B68" s="13" t="str">
        <x:v>Base</x:v>
      </x:c>
      <x:c r="C68" s="13" t="str">
        <x:v>Transferencia recibida</x:v>
      </x:c>
      <x:c r="D68" s="13" t="str">
        <x:v>Banca web</x:v>
      </x:c>
      <x:c r="E68" s="13" t="n">
        <x:v>1</x:v>
      </x:c>
      <x:c r="F68" s="49" t="n">
        <x:f>VLOOKUP(D68,Supuestos!$A$12:$F$15,3,FALSE)</x:f>
        <x:v>0.3</x:v>
      </x:c>
      <x:c r="G68" s="50" t="n">
        <x:f>SUMIFS(Fuente!$C$6:$C$37,Fuente!$A$6:$A$37,C68,Fuente!$B$6:$B$37,E68)</x:f>
        <x:v>3673</x:v>
      </x:c>
      <x:c r="H68" s="51" t="n">
        <x:f>VLOOKUP(C68,Supuestos!$A$22:$B$37,2,FALSE)</x:f>
        <x:v>520</x:v>
      </x:c>
      <x:c r="I68" s="51" t="n">
        <x:f>VLOOKUP(D68,Supuestos!$A$12:$F$15,5,FALSE)</x:f>
        <x:v>1.15</x:v>
      </x:c>
      <x:c r="J68" s="52" t="n">
        <x:f>G68*IF(E68=1,F68,1)</x:f>
        <x:v>1101.8999999999999</x:v>
      </x:c>
      <x:c r="K68" s="51" t="n">
        <x:f>H68*I68</x:f>
        <x:v>598</x:v>
      </x:c>
      <x:c r="L68" s="51" t="n">
        <x:f>ABS(J68*K68)</x:f>
        <x:v>658936.2</x:v>
      </x:c>
      <x:c r="M68" s="49" t="n">
        <x:f>VLOOKUP(D68,Supuestos!$A$12:$F$15,4,FALSE)</x:f>
        <x:v>0.1</x:v>
      </x:c>
      <x:c r="N68" s="49" t="n">
        <x:f>VLOOKUP(D68,Supuestos!$A$12:$F$15,6,FALSE)</x:f>
        <x:v>0.02</x:v>
      </x:c>
      <x:c r="O68" s="52" t="n">
        <x:f>J68*(1+M68)</x:f>
        <x:v>1212.09</x:v>
      </x:c>
      <x:c r="P68" s="51" t="n">
        <x:f>K68*(1+N68)</x:f>
        <x:v>609.96</x:v>
      </x:c>
      <x:c r="Q68" s="51" t="n">
        <x:f>ABS(O68*P68)</x:f>
        <x:v>739326.4164</x:v>
      </x:c>
      <x:c r="R68" s="51" t="n">
        <x:f>Q68-L68</x:f>
        <x:v>80390.21640000003</x:v>
      </x:c>
      <x:c r="S68" s="51" t="n">
        <x:f>(O68-J68)*K68</x:f>
        <x:v>65893.62000000004</x:v>
      </x:c>
      <x:c r="T68" s="51" t="n">
        <x:f>J68*(P68-K68)</x:f>
        <x:v>13178.724000000038</x:v>
      </x:c>
      <x:c r="U68" s="51" t="n">
        <x:f>(O68-J68)*(P68-K68)</x:f>
        <x:v>1317.8724000000047</x:v>
      </x:c>
      <x:c r="V68" s="51" t="n">
        <x:f>ROUND(R68-SUM(S68:U68),2)</x:f>
        <x:v>0</x:v>
      </x:c>
    </x:row>
    <x:row r="69">
      <x:c r="A69" s="13" t="n">
        <x:v>2025</x:v>
      </x:c>
      <x:c r="B69" s="13" t="str">
        <x:v>Base</x:v>
      </x:c>
      <x:c r="C69" s="13" t="str">
        <x:v>Transferencia recibida</x:v>
      </x:c>
      <x:c r="D69" s="13" t="str">
        <x:v>ATM</x:v>
      </x:c>
      <x:c r="E69" s="13" t="n">
        <x:v>1</x:v>
      </x:c>
      <x:c r="F69" s="49" t="n">
        <x:f>VLOOKUP(D69,Supuestos!$A$12:$F$15,3,FALSE)</x:f>
        <x:v>0.15</x:v>
      </x:c>
      <x:c r="G69" s="50" t="n">
        <x:f>SUMIFS(Fuente!$C$6:$C$37,Fuente!$A$6:$A$37,C69,Fuente!$B$6:$B$37,E69)</x:f>
        <x:v>3673</x:v>
      </x:c>
      <x:c r="H69" s="51" t="n">
        <x:f>VLOOKUP(C69,Supuestos!$A$22:$B$37,2,FALSE)</x:f>
        <x:v>520</x:v>
      </x:c>
      <x:c r="I69" s="51" t="n">
        <x:f>VLOOKUP(D69,Supuestos!$A$12:$F$15,5,FALSE)</x:f>
        <x:v>0.75</x:v>
      </x:c>
      <x:c r="J69" s="52" t="n">
        <x:f>G69*IF(E69=1,F69,1)</x:f>
        <x:v>550.9499999999999</x:v>
      </x:c>
      <x:c r="K69" s="51" t="n">
        <x:f>H69*I69</x:f>
        <x:v>390</x:v>
      </x:c>
      <x:c r="L69" s="51" t="n">
        <x:f>ABS(J69*K69)</x:f>
        <x:v>214870.49999999997</x:v>
      </x:c>
      <x:c r="M69" s="49" t="n">
        <x:f>VLOOKUP(D69,Supuestos!$A$12:$F$15,4,FALSE)</x:f>
        <x:v>0.04</x:v>
      </x:c>
      <x:c r="N69" s="49" t="n">
        <x:f>VLOOKUP(D69,Supuestos!$A$12:$F$15,6,FALSE)</x:f>
        <x:v>0.01</x:v>
      </x:c>
      <x:c r="O69" s="52" t="n">
        <x:f>J69*(1+M69)</x:f>
        <x:v>572.9879999999999</x:v>
      </x:c>
      <x:c r="P69" s="51" t="n">
        <x:f>K69*(1+N69)</x:f>
        <x:v>393.9</x:v>
      </x:c>
      <x:c r="Q69" s="51" t="n">
        <x:f>ABS(O69*P69)</x:f>
        <x:v>225699.97319999998</x:v>
      </x:c>
      <x:c r="R69" s="51" t="n">
        <x:f>Q69-L69</x:f>
        <x:v>10829.473200000008</x:v>
      </x:c>
      <x:c r="S69" s="51" t="n">
        <x:f>(O69-J69)*K69</x:f>
        <x:v>8594.820000000003</x:v>
      </x:c>
      <x:c r="T69" s="51" t="n">
        <x:f>J69*(P69-K69)</x:f>
        <x:v>2148.704999999987</x:v>
      </x:c>
      <x:c r="U69" s="51" t="n">
        <x:f>(O69-J69)*(P69-K69)</x:f>
        <x:v>85.94819999999955</x:v>
      </x:c>
      <x:c r="V69" s="51" t="n">
        <x:f>ROUND(R69-SUM(S69:U69),2)</x:f>
        <x:v>0</x:v>
      </x:c>
    </x:row>
    <x:row r="71">
      <x:c r="A71" s="53" t="str">
        <x:v>TOTAL</x:v>
      </x:c>
      <x:c r="B71" s="53"/>
      <x:c r="C71" s="53"/>
      <x:c r="D71" s="53"/>
      <x:c r="E71" s="53"/>
      <x:c r="F71" s="53"/>
      <x:c r="G71" s="53"/>
      <x:c r="H71" s="53"/>
      <x:c r="I71" s="53"/>
      <x:c r="J71" s="53" t="n">
        <x:f>SUM(J6:J69)</x:f>
        <x:v>61573</x:v>
      </x:c>
      <x:c r="K71" s="53"/>
      <x:c r="L71" s="54" t="n">
        <x:f>SUM(L6:L69)</x:f>
        <x:v>22843146.624999996</x:v>
      </x:c>
      <x:c r="M71" s="54"/>
      <x:c r="N71" s="54"/>
      <x:c r="O71" s="54" t="n">
        <x:f>SUM(O6:O69)</x:f>
        <x:v>66850.63000000002</x:v>
      </x:c>
      <x:c r="P71" s="54"/>
      <x:c r="Q71" s="54" t="n">
        <x:f>SUM(Q6:Q69)</x:f>
        <x:v>25250476.28695</x:v>
      </x:c>
      <x:c r="R71" s="54" t="n">
        <x:f>SUM(R6:R69)</x:f>
        <x:v>2407329.6619500015</x:v>
      </x:c>
      <x:c r="S71" s="54" t="n">
        <x:f>SUM(S6:S69)</x:f>
        <x:v>1879295.9650000008</x:v>
      </x:c>
      <x:c r="T71" s="54" t="n">
        <x:f>SUM(T6:T69)</x:f>
        <x:v>470649.19375000056</x:v>
      </x:c>
      <x:c r="U71" s="54" t="n">
        <x:f>SUM(U6:U69)</x:f>
        <x:v>57384.5032000001</x:v>
      </x:c>
      <x:c r="V71" s="54" t="n">
        <x:f>SUM(V6:V69)</x:f>
        <x:v>0</x:v>
      </x:c>
    </x:row>
  </x:sheetData>
  <x:conditionalFormatting sqref="V6:V69">
    <x:cfRule type="cellIs" dxfId="3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fbc856ecc64392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9" hidden="0" customWidth="1"/>
    <x:col min="4" max="4" width="19" hidden="0" customWidth="1"/>
    <x:col min="5" max="5" width="20" hidden="0" customWidth="1"/>
    <x:col min="6" max="6" width="17" hidden="0" customWidth="1"/>
    <x:col min="7" max="7" width="15" hidden="0" customWidth="1"/>
    <x:col min="8" max="8" width="15" hidden="0" customWidth="1"/>
  </x:cols>
  <x:sheetData>
    <x:row r="2">
      <x:c r="A2" s="2" t="str">
        <x:v>Supuestos de simulación</x:v>
      </x:c>
      <x:c r="B2" s="1"/>
      <x:c r="C2" s="1"/>
      <x:c r="D2" s="1"/>
      <x:c r="E2" s="1"/>
      <x:c r="F2" s="1"/>
      <x:c r="G2" s="1"/>
      <x:c r="H2" s="1"/>
    </x:row>
    <x:row r="3">
      <x:c r="A3" s="3" t="str">
        <x:v>Celdas amarillas son editables. Los importes representan tickets promedio supuestos en USD.</x:v>
      </x:c>
      <x:c r="B3" s="3"/>
      <x:c r="C3" s="3"/>
      <x:c r="D3" s="3"/>
      <x:c r="E3" s="3"/>
      <x:c r="F3" s="3"/>
      <x:c r="G3" s="3"/>
      <x:c r="H3" s="3"/>
    </x:row>
    <x:row r="5">
      <x:c r="A5" s="9" t="str">
        <x:v>Parámetro</x:v>
      </x:c>
      <x:c r="B5" s="11" t="str">
        <x:v>Valor</x:v>
      </x:c>
    </x:row>
    <x:row r="6">
      <x:c r="A6" s="13" t="str">
        <x:v>Escenario</x:v>
      </x:c>
      <x:c r="B6" s="28" t="str">
        <x:v>Base</x:v>
      </x:c>
    </x:row>
    <x:row r="7">
      <x:c r="A7" s="13" t="str">
        <x:v>Año</x:v>
      </x:c>
      <x:c r="B7" s="28" t="n">
        <x:v>2025</x:v>
      </x:c>
    </x:row>
    <x:row r="8">
      <x:c r="A8" s="13" t="str">
        <x:v>Moneda</x:v>
      </x:c>
      <x:c r="B8" s="28" t="str">
        <x:v>USD</x:v>
      </x:c>
    </x:row>
    <x:row r="10">
      <x:c r="A10" s="31" t="str">
        <x:v>Supuestos por canal</x:v>
      </x:c>
      <x:c r="B10" s="32"/>
      <x:c r="C10" s="32"/>
      <x:c r="D10" s="32"/>
      <x:c r="E10" s="32"/>
      <x:c r="F10" s="33"/>
    </x:row>
    <x:row r="11">
      <x:c r="A11" s="9" t="str">
        <x:v>Canal</x:v>
      </x:c>
      <x:c r="B11" s="10" t="str">
        <x:v>Es digital</x:v>
      </x:c>
      <x:c r="C11" s="10" t="str">
        <x:v>Mix actual digital</x:v>
      </x:c>
      <x:c r="D11" s="10" t="str">
        <x:v>Cambio volumen</x:v>
      </x:c>
      <x:c r="E11" s="10" t="str">
        <x:v>Multiplicador ticket</x:v>
      </x:c>
      <x:c r="F11" s="11" t="str">
        <x:v>Cambio ticket</x:v>
      </x:c>
    </x:row>
    <x:row r="12">
      <x:c r="A12" s="13" t="str">
        <x:v>Sucursal</x:v>
      </x:c>
      <x:c r="B12" s="14" t="n">
        <x:v>0</x:v>
      </x:c>
      <x:c r="C12" s="38" t="n">
        <x:v>0</x:v>
      </x:c>
      <x:c r="D12" s="38" t="n">
        <x:v>-0.08</x:v>
      </x:c>
      <x:c r="E12" s="39" t="n">
        <x:v>1</x:v>
      </x:c>
      <x:c r="F12" s="38" t="n">
        <x:v>0.01</x:v>
      </x:c>
    </x:row>
    <x:row r="13">
      <x:c r="A13" s="13" t="str">
        <x:v>App móvil</x:v>
      </x:c>
      <x:c r="B13" s="14" t="n">
        <x:v>1</x:v>
      </x:c>
      <x:c r="C13" s="38" t="n">
        <x:v>0.55</x:v>
      </x:c>
      <x:c r="D13" s="38" t="n">
        <x:v>0.18</x:v>
      </x:c>
      <x:c r="E13" s="39" t="n">
        <x:v>0.9</x:v>
      </x:c>
      <x:c r="F13" s="38" t="n">
        <x:v>0.03</x:v>
      </x:c>
    </x:row>
    <x:row r="14">
      <x:c r="A14" s="13" t="str">
        <x:v>Banca web</x:v>
      </x:c>
      <x:c r="B14" s="14" t="n">
        <x:v>1</x:v>
      </x:c>
      <x:c r="C14" s="38" t="n">
        <x:v>0.3</x:v>
      </x:c>
      <x:c r="D14" s="38" t="n">
        <x:v>0.1</x:v>
      </x:c>
      <x:c r="E14" s="39" t="n">
        <x:v>1.15</x:v>
      </x:c>
      <x:c r="F14" s="38" t="n">
        <x:v>0.02</x:v>
      </x:c>
    </x:row>
    <x:row r="15">
      <x:c r="A15" s="13" t="str">
        <x:v>ATM</x:v>
      </x:c>
      <x:c r="B15" s="14" t="n">
        <x:v>1</x:v>
      </x:c>
      <x:c r="C15" s="38" t="n">
        <x:v>0.15</x:v>
      </x:c>
      <x:c r="D15" s="38" t="n">
        <x:v>0.04</x:v>
      </x:c>
      <x:c r="E15" s="39" t="n">
        <x:v>0.75</x:v>
      </x:c>
      <x:c r="F15" s="38" t="n">
        <x:v>0.01</x:v>
      </x:c>
    </x:row>
    <x:row r="17">
      <x:c r="A17" s="41" t="str">
        <x:v>Validación mix digital</x:v>
      </x:c>
      <x:c r="B17" s="42" t="n">
        <x:f>SUMIFS(C12:C15,B12:B15,1)</x:f>
        <x:v>1</x:v>
      </x:c>
      <x:c r="C17" s="41" t="str">
        <x:v>Debe ser 100.0%</x:v>
      </x:c>
    </x:row>
    <x:row r="20">
      <x:c r="A20" s="31" t="str">
        <x:v>Ticket base por tipo de transacción</x:v>
      </x:c>
      <x:c r="B20" s="33"/>
      <x:c r="D20" s="45" t="str">
        <x:v>Interpretación</x:v>
      </x:c>
      <x:c r="E20" s="45"/>
      <x:c r="F20" s="45"/>
      <x:c r="G20" s="45"/>
      <x:c r="H20" s="45"/>
    </x:row>
    <x:row r="21">
      <x:c r="A21" s="9" t="str">
        <x:v>Tipo de transacción</x:v>
      </x:c>
      <x:c r="B21" s="11" t="str">
        <x:v>Ticket base USD</x:v>
      </x:c>
      <x:c r="D21" s="46" t="str">
        <x:v>Los volúmenes observados provienen de la fuente.</x:v>
      </x:c>
      <x:c r="E21" s="46"/>
      <x:c r="F21" s="46"/>
      <x:c r="G21" s="46"/>
      <x:c r="H21" s="46"/>
    </x:row>
    <x:row r="22">
      <x:c r="A22" s="13" t="str">
        <x:v>Aportación</x:v>
      </x:c>
      <x:c r="B22" s="43" t="n">
        <x:v>250</x:v>
      </x:c>
      <x:c r="D22" s="46" t="str">
        <x:v>El canal específico no existe en la fuente; el mix digital distribuye el total digital.</x:v>
      </x:c>
      <x:c r="E22" s="46"/>
      <x:c r="F22" s="46"/>
      <x:c r="G22" s="46"/>
      <x:c r="H22" s="46"/>
    </x:row>
    <x:row r="23">
      <x:c r="A23" s="13" t="str">
        <x:v>Avance de efectivo</x:v>
      </x:c>
      <x:c r="B23" s="43" t="n">
        <x:v>180</x:v>
      </x:c>
      <x:c r="D23" s="46" t="str">
        <x:v>El monto_usd se estima como transacciones × ticket promedio.</x:v>
      </x:c>
      <x:c r="E23" s="46"/>
      <x:c r="F23" s="46"/>
      <x:c r="G23" s="46"/>
      <x:c r="H23" s="46"/>
    </x:row>
    <x:row r="24">
      <x:c r="A24" s="13" t="str">
        <x:v>Cargo de interés</x:v>
      </x:c>
      <x:c r="B24" s="43" t="n">
        <x:v>35</x:v>
      </x:c>
      <x:c r="D24" s="46" t="str">
        <x:v>La simulación aplica cambios de volumen y ticket por canal.</x:v>
      </x:c>
      <x:c r="E24" s="46"/>
      <x:c r="F24" s="46"/>
      <x:c r="G24" s="46"/>
      <x:c r="H24" s="46"/>
    </x:row>
    <x:row r="25">
      <x:c r="A25" s="13" t="str">
        <x:v>Compra</x:v>
      </x:c>
      <x:c r="B25" s="43" t="n">
        <x:v>85</x:v>
      </x:c>
      <x:c r="D25" s="46" t="str">
        <x:v>Todos los montos se presentan en valor absoluto.</x:v>
      </x:c>
      <x:c r="E25" s="46"/>
      <x:c r="F25" s="46"/>
      <x:c r="G25" s="46"/>
      <x:c r="H25" s="46"/>
    </x:row>
    <x:row r="26">
      <x:c r="A26" s="13" t="str">
        <x:v>Depósito</x:v>
      </x:c>
      <x:c r="B26" s="43" t="n">
        <x:v>300</x:v>
      </x:c>
      <x:c r="D26" s="46" t="str">
        <x:v>Sustituya los supuestos por datos observados antes de producción.</x:v>
      </x:c>
      <x:c r="E26" s="46"/>
      <x:c r="F26" s="46"/>
      <x:c r="G26" s="46"/>
      <x:c r="H26" s="46"/>
    </x:row>
    <x:row r="27">
      <x:c r="A27" s="13" t="str">
        <x:v>Desembolso</x:v>
      </x:c>
      <x:c r="B27" s="43" t="n">
        <x:v>1200</x:v>
      </x:c>
    </x:row>
    <x:row r="28">
      <x:c r="A28" s="13" t="str">
        <x:v>Indemnización</x:v>
      </x:c>
      <x:c r="B28" s="43" t="n">
        <x:v>1500</x:v>
      </x:c>
    </x:row>
    <x:row r="29">
      <x:c r="A29" s="13" t="str">
        <x:v>Pago de crédito</x:v>
      </x:c>
      <x:c r="B29" s="43" t="n">
        <x:v>420</x:v>
      </x:c>
    </x:row>
    <x:row r="30">
      <x:c r="A30" s="13" t="str">
        <x:v>Pago de prima</x:v>
      </x:c>
      <x:c r="B30" s="43" t="n">
        <x:v>160</x:v>
      </x:c>
    </x:row>
    <x:row r="31">
      <x:c r="A31" s="13" t="str">
        <x:v>Pago de servicio</x:v>
      </x:c>
      <x:c r="B31" s="43" t="n">
        <x:v>75</x:v>
      </x:c>
    </x:row>
    <x:row r="32">
      <x:c r="A32" s="13" t="str">
        <x:v>Pago de tarjeta</x:v>
      </x:c>
      <x:c r="B32" s="43" t="n">
        <x:v>320</x:v>
      </x:c>
    </x:row>
    <x:row r="33">
      <x:c r="A33" s="13" t="str">
        <x:v>Rendimiento</x:v>
      </x:c>
      <x:c r="B33" s="43" t="n">
        <x:v>45</x:v>
      </x:c>
    </x:row>
    <x:row r="34">
      <x:c r="A34" s="13" t="str">
        <x:v>Retiro</x:v>
      </x:c>
      <x:c r="B34" s="43" t="n">
        <x:v>140</x:v>
      </x:c>
    </x:row>
    <x:row r="35">
      <x:c r="A35" s="13" t="str">
        <x:v>Retiro de inversión</x:v>
      </x:c>
      <x:c r="B35" s="43" t="n">
        <x:v>800</x:v>
      </x:c>
    </x:row>
    <x:row r="36">
      <x:c r="A36" s="13" t="str">
        <x:v>Transferencia enviada</x:v>
      </x:c>
      <x:c r="B36" s="43" t="n">
        <x:v>500</x:v>
      </x:c>
    </x:row>
    <x:row r="37">
      <x:c r="A37" s="13" t="str">
        <x:v>Transferencia recibida</x:v>
      </x:c>
      <x:c r="B37" s="43" t="n">
        <x:v>520</x:v>
      </x:c>
    </x:row>
  </x:sheetData>
  <x:conditionalFormatting sqref="B17:B17">
    <x:cfRule type="cellIs" dxfId="0" priority="1" operator="notEqual">
      <x:formula>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24" hidden="0" customWidth="1"/>
    <x:col min="4" max="4" width="11" hidden="0" customWidth="1"/>
  </x:cols>
  <x:sheetData>
    <x:row r="2">
      <x:c r="A2" s="2" t="str">
        <x:v>Fuente depurada</x:v>
      </x:c>
      <x:c r="B2" s="1"/>
      <x:c r="C2" s="1"/>
      <x:c r="D2" s="1"/>
      <x:c r="E2" s="1"/>
    </x:row>
    <x:row r="3">
      <x:c r="A3" s="3" t="str">
        <x:v>Registros observados de 2025. Se excluyen la fila Total y las notas del archivo original.</x:v>
      </x:c>
      <x:c r="B3" s="3"/>
      <x:c r="C3" s="3"/>
      <x:c r="D3" s="3"/>
      <x:c r="E3" s="3"/>
    </x:row>
    <x:row r="5" ht="19" customHeight="1">
      <x:c r="A5" s="9" t="str">
        <x:v>tipo_transaccion</x:v>
      </x:c>
      <x:c r="B5" s="10" t="str">
        <x:v>digital</x:v>
      </x:c>
      <x:c r="C5" s="10" t="str">
        <x:v>Transacciones intentadas</x:v>
      </x:c>
      <x:c r="D5" s="11" t="str">
        <x:v>Año</x:v>
      </x:c>
    </x:row>
    <x:row r="6" ht="19" customHeight="1">
      <x:c r="A6" s="13" t="str">
        <x:v>Aportación</x:v>
      </x:c>
      <x:c r="B6" s="14" t="n">
        <x:v>0</x:v>
      </x:c>
      <x:c r="C6" s="15" t="n">
        <x:v>719</x:v>
      </x:c>
      <x:c r="D6" s="13" t="n">
        <x:v>2025</x:v>
      </x:c>
    </x:row>
    <x:row r="7" ht="19" customHeight="1">
      <x:c r="A7" s="13" t="str">
        <x:v>Aportación</x:v>
      </x:c>
      <x:c r="B7" s="14" t="n">
        <x:v>1</x:v>
      </x:c>
      <x:c r="C7" s="15" t="n">
        <x:v>2237</x:v>
      </x:c>
      <x:c r="D7" s="13" t="n">
        <x:v>2025</x:v>
      </x:c>
    </x:row>
    <x:row r="8" ht="19" customHeight="1">
      <x:c r="A8" s="13" t="str">
        <x:v>Avance de efectivo</x:v>
      </x:c>
      <x:c r="B8" s="14" t="n">
        <x:v>0</x:v>
      </x:c>
      <x:c r="C8" s="15" t="n">
        <x:v>511</x:v>
      </x:c>
      <x:c r="D8" s="13" t="n">
        <x:v>2025</x:v>
      </x:c>
    </x:row>
    <x:row r="9" ht="19" customHeight="1">
      <x:c r="A9" s="13" t="str">
        <x:v>Avance de efectivo</x:v>
      </x:c>
      <x:c r="B9" s="14" t="n">
        <x:v>1</x:v>
      </x:c>
      <x:c r="C9" s="15" t="n">
        <x:v>1727</x:v>
      </x:c>
      <x:c r="D9" s="13" t="n">
        <x:v>2025</x:v>
      </x:c>
    </x:row>
    <x:row r="10" ht="19" customHeight="1">
      <x:c r="A10" s="13" t="str">
        <x:v>Cargo de interés</x:v>
      </x:c>
      <x:c r="B10" s="14" t="n">
        <x:v>0</x:v>
      </x:c>
      <x:c r="C10" s="15" t="n">
        <x:v>1129</x:v>
      </x:c>
      <x:c r="D10" s="13" t="n">
        <x:v>2025</x:v>
      </x:c>
    </x:row>
    <x:row r="11" ht="19" customHeight="1">
      <x:c r="A11" s="13" t="str">
        <x:v>Cargo de interés</x:v>
      </x:c>
      <x:c r="B11" s="14" t="n">
        <x:v>1</x:v>
      </x:c>
      <x:c r="C11" s="15" t="n">
        <x:v>3680</x:v>
      </x:c>
      <x:c r="D11" s="13" t="n">
        <x:v>2025</x:v>
      </x:c>
    </x:row>
    <x:row r="12" ht="19" customHeight="1">
      <x:c r="A12" s="13" t="str">
        <x:v>Compra</x:v>
      </x:c>
      <x:c r="B12" s="14" t="n">
        <x:v>0</x:v>
      </x:c>
      <x:c r="C12" s="15" t="n">
        <x:v>1561</x:v>
      </x:c>
      <x:c r="D12" s="13" t="n">
        <x:v>2025</x:v>
      </x:c>
    </x:row>
    <x:row r="13" ht="19" customHeight="1">
      <x:c r="A13" s="13" t="str">
        <x:v>Compra</x:v>
      </x:c>
      <x:c r="B13" s="14" t="n">
        <x:v>1</x:v>
      </x:c>
      <x:c r="C13" s="15" t="n">
        <x:v>4832</x:v>
      </x:c>
      <x:c r="D13" s="13" t="n">
        <x:v>2025</x:v>
      </x:c>
    </x:row>
    <x:row r="14" ht="19" customHeight="1">
      <x:c r="A14" s="13" t="str">
        <x:v>Depósito</x:v>
      </x:c>
      <x:c r="B14" s="14" t="n">
        <x:v>0</x:v>
      </x:c>
      <x:c r="C14" s="15" t="n">
        <x:v>905</x:v>
      </x:c>
      <x:c r="D14" s="13" t="n">
        <x:v>2025</x:v>
      </x:c>
    </x:row>
    <x:row r="15" ht="19" customHeight="1">
      <x:c r="A15" s="13" t="str">
        <x:v>Depósito</x:v>
      </x:c>
      <x:c r="B15" s="14" t="n">
        <x:v>1</x:v>
      </x:c>
      <x:c r="C15" s="15" t="n">
        <x:v>3597</x:v>
      </x:c>
      <x:c r="D15" s="13" t="n">
        <x:v>2025</x:v>
      </x:c>
    </x:row>
    <x:row r="16" ht="19" customHeight="1">
      <x:c r="A16" s="13" t="str">
        <x:v>Desembolso</x:v>
      </x:c>
      <x:c r="B16" s="14" t="n">
        <x:v>0</x:v>
      </x:c>
      <x:c r="C16" s="15" t="n">
        <x:v>1136</x:v>
      </x:c>
      <x:c r="D16" s="13" t="n">
        <x:v>2025</x:v>
      </x:c>
    </x:row>
    <x:row r="17" ht="19" customHeight="1">
      <x:c r="A17" s="13" t="str">
        <x:v>Desembolso</x:v>
      </x:c>
      <x:c r="B17" s="14" t="n">
        <x:v>1</x:v>
      </x:c>
      <x:c r="C17" s="15" t="n">
        <x:v>3510</x:v>
      </x:c>
      <x:c r="D17" s="13" t="n">
        <x:v>2025</x:v>
      </x:c>
    </x:row>
    <x:row r="18" ht="19" customHeight="1">
      <x:c r="A18" s="13" t="str">
        <x:v>Indemnización</x:v>
      </x:c>
      <x:c r="B18" s="14" t="n">
        <x:v>0</x:v>
      </x:c>
      <x:c r="C18" s="15" t="n">
        <x:v>643</x:v>
      </x:c>
      <x:c r="D18" s="13" t="n">
        <x:v>2025</x:v>
      </x:c>
    </x:row>
    <x:row r="19" ht="19" customHeight="1">
      <x:c r="A19" s="13" t="str">
        <x:v>Indemnización</x:v>
      </x:c>
      <x:c r="B19" s="14" t="n">
        <x:v>1</x:v>
      </x:c>
      <x:c r="C19" s="15" t="n">
        <x:v>1810</x:v>
      </x:c>
      <x:c r="D19" s="13" t="n">
        <x:v>2025</x:v>
      </x:c>
    </x:row>
    <x:row r="20" ht="19" customHeight="1">
      <x:c r="A20" s="13" t="str">
        <x:v>Pago de crédito</x:v>
      </x:c>
      <x:c r="B20" s="14" t="n">
        <x:v>0</x:v>
      </x:c>
      <x:c r="C20" s="15" t="n">
        <x:v>1180</x:v>
      </x:c>
      <x:c r="D20" s="13" t="n">
        <x:v>2025</x:v>
      </x:c>
    </x:row>
    <x:row r="21" ht="19" customHeight="1">
      <x:c r="A21" s="13" t="str">
        <x:v>Pago de crédito</x:v>
      </x:c>
      <x:c r="B21" s="14" t="n">
        <x:v>1</x:v>
      </x:c>
      <x:c r="C21" s="15" t="n">
        <x:v>3599</x:v>
      </x:c>
      <x:c r="D21" s="13" t="n">
        <x:v>2025</x:v>
      </x:c>
    </x:row>
    <x:row r="22" ht="19" customHeight="1">
      <x:c r="A22" s="13" t="str">
        <x:v>Pago de prima</x:v>
      </x:c>
      <x:c r="B22" s="14" t="n">
        <x:v>0</x:v>
      </x:c>
      <x:c r="C22" s="15" t="n">
        <x:v>669</x:v>
      </x:c>
      <x:c r="D22" s="13" t="n">
        <x:v>2025</x:v>
      </x:c>
    </x:row>
    <x:row r="23" ht="19" customHeight="1">
      <x:c r="A23" s="13" t="str">
        <x:v>Pago de prima</x:v>
      </x:c>
      <x:c r="B23" s="14" t="n">
        <x:v>1</x:v>
      </x:c>
      <x:c r="C23" s="15" t="n">
        <x:v>1878</x:v>
      </x:c>
      <x:c r="D23" s="13" t="n">
        <x:v>2025</x:v>
      </x:c>
    </x:row>
    <x:row r="24" ht="19" customHeight="1">
      <x:c r="A24" s="13" t="str">
        <x:v>Pago de servicio</x:v>
      </x:c>
      <x:c r="B24" s="14" t="n">
        <x:v>0</x:v>
      </x:c>
      <x:c r="C24" s="15" t="n">
        <x:v>931</x:v>
      </x:c>
      <x:c r="D24" s="13" t="n">
        <x:v>2025</x:v>
      </x:c>
    </x:row>
    <x:row r="25" ht="19" customHeight="1">
      <x:c r="A25" s="13" t="str">
        <x:v>Pago de servicio</x:v>
      </x:c>
      <x:c r="B25" s="14" t="n">
        <x:v>1</x:v>
      </x:c>
      <x:c r="C25" s="15" t="n">
        <x:v>3603</x:v>
      </x:c>
      <x:c r="D25" s="13" t="n">
        <x:v>2025</x:v>
      </x:c>
    </x:row>
    <x:row r="26" ht="19" customHeight="1">
      <x:c r="A26" s="13" t="str">
        <x:v>Pago de tarjeta</x:v>
      </x:c>
      <x:c r="B26" s="14" t="n">
        <x:v>0</x:v>
      </x:c>
      <x:c r="C26" s="15" t="n">
        <x:v>564</x:v>
      </x:c>
      <x:c r="D26" s="13" t="n">
        <x:v>2025</x:v>
      </x:c>
    </x:row>
    <x:row r="27" ht="19" customHeight="1">
      <x:c r="A27" s="13" t="str">
        <x:v>Pago de tarjeta</x:v>
      </x:c>
      <x:c r="B27" s="14" t="n">
        <x:v>1</x:v>
      </x:c>
      <x:c r="C27" s="15" t="n">
        <x:v>1664</x:v>
      </x:c>
      <x:c r="D27" s="13" t="n">
        <x:v>2025</x:v>
      </x:c>
    </x:row>
    <x:row r="28" ht="19" customHeight="1">
      <x:c r="A28" s="13" t="str">
        <x:v>Rendimiento</x:v>
      </x:c>
      <x:c r="B28" s="14" t="n">
        <x:v>0</x:v>
      </x:c>
      <x:c r="C28" s="15" t="n">
        <x:v>757</x:v>
      </x:c>
      <x:c r="D28" s="13" t="n">
        <x:v>2025</x:v>
      </x:c>
    </x:row>
    <x:row r="29" ht="19" customHeight="1">
      <x:c r="A29" s="13" t="str">
        <x:v>Rendimiento</x:v>
      </x:c>
      <x:c r="B29" s="14" t="n">
        <x:v>1</x:v>
      </x:c>
      <x:c r="C29" s="15" t="n">
        <x:v>2171</x:v>
      </x:c>
      <x:c r="D29" s="13" t="n">
        <x:v>2025</x:v>
      </x:c>
    </x:row>
    <x:row r="30" ht="19" customHeight="1">
      <x:c r="A30" s="13" t="str">
        <x:v>Retiro</x:v>
      </x:c>
      <x:c r="B30" s="14" t="n">
        <x:v>0</x:v>
      </x:c>
      <x:c r="C30" s="15" t="n">
        <x:v>869</x:v>
      </x:c>
      <x:c r="D30" s="13" t="n">
        <x:v>2025</x:v>
      </x:c>
    </x:row>
    <x:row r="31" ht="19" customHeight="1">
      <x:c r="A31" s="13" t="str">
        <x:v>Retiro</x:v>
      </x:c>
      <x:c r="B31" s="14" t="n">
        <x:v>1</x:v>
      </x:c>
      <x:c r="C31" s="15" t="n">
        <x:v>3610</x:v>
      </x:c>
      <x:c r="D31" s="13" t="n">
        <x:v>2025</x:v>
      </x:c>
    </x:row>
    <x:row r="32" ht="19" customHeight="1">
      <x:c r="A32" s="13" t="str">
        <x:v>Retiro de inversión</x:v>
      </x:c>
      <x:c r="B32" s="14" t="n">
        <x:v>0</x:v>
      </x:c>
      <x:c r="C32" s="15" t="n">
        <x:v>737</x:v>
      </x:c>
      <x:c r="D32" s="13" t="n">
        <x:v>2025</x:v>
      </x:c>
    </x:row>
    <x:row r="33" ht="19" customHeight="1">
      <x:c r="A33" s="13" t="str">
        <x:v>Retiro de inversión</x:v>
      </x:c>
      <x:c r="B33" s="14" t="n">
        <x:v>1</x:v>
      </x:c>
      <x:c r="C33" s="15" t="n">
        <x:v>2222</x:v>
      </x:c>
      <x:c r="D33" s="13" t="n">
        <x:v>2025</x:v>
      </x:c>
    </x:row>
    <x:row r="34" ht="19" customHeight="1">
      <x:c r="A34" s="13" t="str">
        <x:v>Transferencia enviada</x:v>
      </x:c>
      <x:c r="B34" s="14" t="n">
        <x:v>0</x:v>
      </x:c>
      <x:c r="C34" s="15" t="n">
        <x:v>908</x:v>
      </x:c>
      <x:c r="D34" s="13" t="n">
        <x:v>2025</x:v>
      </x:c>
    </x:row>
    <x:row r="35" ht="19" customHeight="1">
      <x:c r="A35" s="13" t="str">
        <x:v>Transferencia enviada</x:v>
      </x:c>
      <x:c r="B35" s="14" t="n">
        <x:v>1</x:v>
      </x:c>
      <x:c r="C35" s="15" t="n">
        <x:v>3645</x:v>
      </x:c>
      <x:c r="D35" s="13" t="n">
        <x:v>2025</x:v>
      </x:c>
    </x:row>
    <x:row r="36" ht="19" customHeight="1">
      <x:c r="A36" s="13" t="str">
        <x:v>Transferencia recibida</x:v>
      </x:c>
      <x:c r="B36" s="14" t="n">
        <x:v>0</x:v>
      </x:c>
      <x:c r="C36" s="15" t="n">
        <x:v>896</x:v>
      </x:c>
      <x:c r="D36" s="13" t="n">
        <x:v>2025</x:v>
      </x:c>
    </x:row>
    <x:row r="37" ht="19" customHeight="1">
      <x:c r="A37" s="13" t="str">
        <x:v>Transferencia recibida</x:v>
      </x:c>
      <x:c r="B37" s="14" t="n">
        <x:v>1</x:v>
      </x:c>
      <x:c r="C37" s="15" t="n">
        <x:v>3673</x:v>
      </x:c>
      <x:c r="D37" s="13" t="n">
        <x:v>2025</x:v>
      </x:c>
    </x:row>
    <x:row r="39">
      <x:c r="A39" s="24" t="str">
        <x:v>Control de fuente</x:v>
      </x:c>
      <x:c r="B39" s="19" t="n">
        <x:f>SUM(C6:C37)</x:f>
        <x:v>61573</x:v>
      </x:c>
    </x:row>
    <x:row r="40">
      <x:c r="A40" s="25" t="str">
        <x:v>Total declarado en archivo</x:v>
      </x:c>
      <x:c r="B40" s="21" t="n">
        <x:v>61573</x:v>
      </x:c>
    </x:row>
    <x:row r="41">
      <x:c r="A41" s="26" t="str">
        <x:v>Diferencia</x:v>
      </x:c>
      <x:c r="B41" s="23" t="n">
        <x:f>B39-B40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b19c8dc95749b9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6" hidden="0" customWidth="1"/>
    <x:col min="2" max="2" width="8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2" t="str">
        <x:v>Propuesta de integración en Power BI</x:v>
      </x:c>
      <x:c r="B2" s="1"/>
      <x:c r="C2" s="1"/>
      <x:c r="D2" s="1"/>
      <x:c r="E2" s="1"/>
      <x:c r="F2" s="1"/>
      <x:c r="G2" s="1"/>
      <x:c r="H2" s="1"/>
    </x:row>
    <x:row r="3">
      <x:c r="A3" s="3" t="str">
        <x:v>Medidas basadas en Fact_Simulacion. Los drivers reconcilian exactamente con la brecha total.</x:v>
      </x:c>
      <x:c r="B3" s="3"/>
      <x:c r="C3" s="3"/>
      <x:c r="D3" s="3"/>
      <x:c r="E3" s="3"/>
      <x:c r="F3" s="3"/>
      <x:c r="G3" s="3"/>
      <x:c r="H3" s="3"/>
    </x:row>
    <x:row r="5">
      <x:c r="A5" s="31" t="str">
        <x:v>Modelo recomendado</x:v>
      </x:c>
      <x:c r="B5" s="32"/>
      <x:c r="C5" s="32"/>
      <x:c r="D5" s="32"/>
      <x:c r="E5" s="32"/>
      <x:c r="F5" s="32"/>
      <x:c r="G5" s="32"/>
      <x:c r="H5" s="33"/>
    </x:row>
    <x:row r="6">
      <x:c r="A6" s="9" t="str">
        <x:v>Tabla</x:v>
      </x:c>
      <x:c r="B6" s="10" t="str">
        <x:v>Rol</x:v>
      </x:c>
      <x:c r="C6" s="11" t="str">
        <x:v>Relación</x:v>
      </x:c>
      <x:c r="D6"/>
      <x:c r="E6"/>
      <x:c r="F6"/>
      <x:c r="G6"/>
      <x:c r="H6"/>
    </x:row>
    <x:row r="7">
      <x:c r="A7" s="13" t="str">
        <x:v>Fact_Simulacion</x:v>
      </x:c>
      <x:c r="B7" s="13" t="str">
        <x:v>Hechos: volumen, monto y drivers</x:v>
      </x:c>
      <x:c r="C7" s="13" t="str">
        <x:v>Muchos a uno con dimensiones</x:v>
      </x:c>
      <x:c r="D7"/>
      <x:c r="E7"/>
      <x:c r="F7"/>
      <x:c r="G7"/>
      <x:c r="H7"/>
    </x:row>
    <x:row r="8">
      <x:c r="A8" s="13" t="str">
        <x:v>Dim_Fecha</x:v>
      </x:c>
      <x:c r="B8" s="13" t="str">
        <x:v>Año / mes / fecha</x:v>
      </x:c>
      <x:c r="C8" s="13" t="str">
        <x:v>1 → * por clave de fecha</x:v>
      </x:c>
      <x:c r="D8"/>
      <x:c r="E8"/>
      <x:c r="F8"/>
      <x:c r="G8"/>
      <x:c r="H8"/>
    </x:row>
    <x:row r="9">
      <x:c r="A9" s="13" t="str">
        <x:v>Dim_Canal</x:v>
      </x:c>
      <x:c r="B9" s="13" t="str">
        <x:v>Canal y bandera digital</x:v>
      </x:c>
      <x:c r="C9" s="13" t="str">
        <x:v>1 → * por canal</x:v>
      </x:c>
      <x:c r="D9"/>
      <x:c r="E9"/>
      <x:c r="F9"/>
      <x:c r="G9"/>
      <x:c r="H9"/>
    </x:row>
    <x:row r="10">
      <x:c r="A10" s="13" t="str">
        <x:v>Dim_Transaccion</x:v>
      </x:c>
      <x:c r="B10" s="13" t="str">
        <x:v>Tipo de transacción</x:v>
      </x:c>
      <x:c r="C10" s="13" t="str">
        <x:v>1 → * por tipo</x:v>
      </x:c>
      <x:c r="D10"/>
      <x:c r="E10"/>
      <x:c r="F10"/>
      <x:c r="G10"/>
      <x:c r="H10"/>
    </x:row>
    <x:row r="13">
      <x:c r="A13" s="31" t="str">
        <x:v>Medidas DAX</x:v>
      </x:c>
      <x:c r="B13" s="32"/>
      <x:c r="C13" s="32"/>
      <x:c r="D13" s="32"/>
      <x:c r="E13" s="32"/>
      <x:c r="F13" s="32"/>
      <x:c r="G13" s="32"/>
      <x:c r="H13" s="33"/>
    </x:row>
    <x:row r="14" ht="42" customHeight="1">
      <x:c r="A14" s="96" t="str">
        <x:v>Monto Actual USD</x:v>
      </x:c>
      <x:c r="B14" s="97" t="str">
        <x:v>Monto Actual USD =
SUM ( Fact_Simulacion[Monto actual USD] )</x:v>
      </x:c>
    </x:row>
    <x:row r="15" ht="42" customHeight="1">
      <x:c r="A15" s="98" t="str">
        <x:v>Monto Simulado USD</x:v>
      </x:c>
      <x:c r="B15" s="99" t="str">
        <x:v>Monto Simulado USD =
SUM ( Fact_Simulacion[Monto simulado USD] )</x:v>
      </x:c>
    </x:row>
    <x:row r="16" ht="42" customHeight="1">
      <x:c r="A16" s="98" t="str">
        <x:v>Brecha Monto USD</x:v>
      </x:c>
      <x:c r="B16" s="99" t="str">
        <x:v>Brecha Monto USD =
[Monto Simulado USD] - [Monto Actual USD]</x:v>
      </x:c>
    </x:row>
    <x:row r="17" ht="42" customHeight="1">
      <x:c r="A17" s="98" t="str">
        <x:v>Brecha Monto %</x:v>
      </x:c>
      <x:c r="B17" s="99" t="str">
        <x:v>Brecha Monto % =
DIVIDE ( [Brecha Monto USD], [Monto Actual USD] )</x:v>
      </x:c>
    </x:row>
    <x:row r="18" ht="42" customHeight="1">
      <x:c r="A18" s="98" t="str">
        <x:v>Driver Volumen USD</x:v>
      </x:c>
      <x:c r="B18" s="99" t="str">
        <x:v>Driver Volumen USD =
SUM ( Fact_Simulacion[Driver volumen USD] )</x:v>
      </x:c>
    </x:row>
    <x:row r="19" ht="42" customHeight="1">
      <x:c r="A19" s="98" t="str">
        <x:v>Driver Ticket USD</x:v>
      </x:c>
      <x:c r="B19" s="99" t="str">
        <x:v>Driver Ticket USD =
SUM ( Fact_Simulacion[Driver ticket USD] )</x:v>
      </x:c>
    </x:row>
    <x:row r="20" ht="42" customHeight="1">
      <x:c r="A20" s="98" t="str">
        <x:v>Driver Interacción USD</x:v>
      </x:c>
      <x:c r="B20" s="99" t="str">
        <x:v>Driver Interacción USD =
SUM ( Fact_Simulacion[Interacción USD] )</x:v>
      </x:c>
    </x:row>
    <x:row r="21" ht="42" customHeight="1">
      <x:c r="A21" s="98" t="str">
        <x:v>Check Drivers</x:v>
      </x:c>
      <x:c r="B21" s="99" t="str">
        <x:v>Check Drivers =
[Brecha Monto USD] - [Driver Volumen USD] - [Driver Ticket USD] - [Driver Interacción USD]</x:v>
      </x:c>
    </x:row>
    <x:row r="22" ht="42" customHeight="1">
      <x:c r="A22" s="98" t="str">
        <x:v>Brecha Digital USD</x:v>
      </x:c>
      <x:c r="B22" s="99" t="str">
        <x:v>Brecha Digital USD =
CALCULATE ( [Brecha Monto USD], KEEPFILTERS ( Dim_Canal[Es digital] = 1 ) )</x:v>
      </x:c>
    </x:row>
    <x:row r="23" ht="42" customHeight="1">
      <x:c r="A23" s="98" t="str">
        <x:v>Aporte Canal %</x:v>
      </x:c>
      <x:c r="B23" s="99" t="str">
        <x:v>Aporte Canal % =
DIVIDE ( [Brecha Monto USD], CALCULATE ( [Brecha Monto USD], REMOVEFILTERS ( Dim_Canal ) ) )</x:v>
      </x:c>
    </x:row>
    <x:row r="24" ht="42" customHeight="1">
      <x:c r="A24" s="100" t="str">
        <x:v>Ranking Canal</x:v>
      </x:c>
      <x:c r="B24" s="101" t="str">
        <x:v>Ranking Canal =
RANKX ( ALLSELECTED ( Dim_Canal[Canal] ), [Brecha Monto USD], , DESC, DENSE )</x:v>
      </x:c>
    </x:row>
    <x:row r="26">
      <x:c r="A26" s="3" t="str">
        <x:v>Nota: en producción, conserve monto_usd como columna numérica positiva y use una columna separada para el signo económico si fuera necesario.</x:v>
      </x:c>
      <x:c r="B26" s="3"/>
      <x:c r="C26" s="3"/>
      <x:c r="D26" s="3"/>
      <x:c r="E26" s="3"/>
      <x:c r="F26" s="3"/>
      <x:c r="G26" s="3"/>
      <x:c r="H26" s="3"/>
    </x:row>
  </x:sheetData>
  <x:pageMargins left="0.7" right="0.7" top="0.75" bottom="0.75" header="0.3" footer="0.3"/>
</x:worksheet>
</file>