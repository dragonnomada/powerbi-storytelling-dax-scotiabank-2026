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b0c1fc2c8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ía" sheetId="1" r:id="R7493cf4e204247c2"/>
    <x:sheet xmlns:r="http://schemas.openxmlformats.org/officeDocument/2006/relationships" name="01 Contextos" sheetId="2" r:id="R77b8067563234135"/>
    <x:sheet xmlns:r="http://schemas.openxmlformats.org/officeDocument/2006/relationships" name="02 Transición" sheetId="3" r:id="R3ac037c96bbe45d8"/>
    <x:sheet xmlns:r="http://schemas.openxmlformats.org/officeDocument/2006/relationships" name="03 CALCULATE" sheetId="4" r:id="R3c92cefe48a0437b"/>
    <x:sheet xmlns:r="http://schemas.openxmlformats.org/officeDocument/2006/relationships" name="04 FILTER" sheetId="5" r:id="Rec806e007f534fae"/>
    <x:sheet xmlns:r="http://schemas.openxmlformats.org/officeDocument/2006/relationships" name="05 ALL" sheetId="6" r:id="R87e7ae6951924508"/>
    <x:sheet xmlns:r="http://schemas.openxmlformats.org/officeDocument/2006/relationships" name="06 VALUES" sheetId="7" r:id="R4806597d51d441b5"/>
    <x:sheet xmlns:r="http://schemas.openxmlformats.org/officeDocument/2006/relationships" name="Datos muestra" sheetId="8" r:id="R56c781f252a5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"/>
    <x:numFmt numFmtId="201" formatCode="#,##0"/>
    <x:numFmt numFmtId="202" formatCode="0.0%"/>
    <x:numFmt numFmtId="203" formatCode="$#,##0"/>
    <x:numFmt numFmtId="204" formatCode="0"/>
  </x:numFmts>
  <x:fonts count="13">
    <x:font>
      <x:sz val="11"/>
      <x:name val="Carlito"/>
    </x:font>
    <x:font>
      <x:sz val="10"/>
      <x:color rgb="FF333333"/>
      <x:name val="Arial"/>
    </x:font>
    <x:font>
      <x:b/>
      <x:sz val="15"/>
      <x:color rgb="FF161616"/>
      <x:name val="Arial"/>
    </x:font>
    <x:font>
      <x:i/>
      <x:sz val="10"/>
      <x:color rgb="FF6B6B6B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9"/>
      <x:color rgb="FF161616"/>
      <x:name val="Courier New"/>
    </x:font>
    <x:font>
      <x:sz val="9"/>
      <x:color rgb="FF333333"/>
      <x:name val="Courier New"/>
    </x:font>
    <x:font>
      <x:sz val="9"/>
      <x:color rgb="FF333333"/>
      <x:name val="Arial"/>
    </x:font>
    <x:font>
      <x:b/>
      <x:sz val="9"/>
      <x:color rgb="FFFFFFFF"/>
      <x:name val="Arial"/>
    </x:font>
    <x:font>
      <x:i/>
      <x:sz val="9"/>
      <x:color rgb="FF6B6B6B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1616"/>
      </x:patternFill>
    </x:fill>
    <x:fill>
      <x:patternFill patternType="solid">
        <x:fgColor rgb="FFD71920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333333"/>
      </x:patternFill>
    </x:fill>
    <x:fill>
      <x:patternFill patternType="solid">
        <x:fgColor rgb="FFFFF2CC"/>
      </x:patternFill>
    </x:fill>
    <x:fill>
      <x:patternFill patternType="solid">
        <x:fgColor rgb="FFFFF1F1"/>
      </x:patternFill>
    </x:fill>
    <x:fill>
      <x:patternFill patternType="solid">
        <x:fgColor rgb="FFE2F0D9"/>
      </x:patternFill>
    </x:fill>
  </x:fills>
  <x:borders count="16">
    <x:border/>
    <x:border>
      <x:bottom style="medium">
        <x:color rgb="FFD71920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D9D9"/>
      </x:bottom>
    </x:border>
    <x:border>
      <x:left style="thin">
        <x:color rgb="FFD71920"/>
      </x:left>
      <x:top style="thin">
        <x:color rgb="FFD71920"/>
      </x:top>
      <x:bottom style="thin">
        <x:color rgb="FFD71920"/>
      </x:bottom>
    </x:border>
    <x:border>
      <x:right style="thin">
        <x:color rgb="FFD71920"/>
      </x:right>
      <x:top style="thin">
        <x:color rgb="FFD71920"/>
      </x:top>
      <x:bottom style="thin">
        <x:color rgb="FFD71920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top style="thin">
        <x:color rgb="FFD71920"/>
      </x:top>
    </x:border>
  </x:borders>
  <x:cellStyleXfs count="1">
    <x:xf numFmtId="0" fontId="0" fillId="0" borderId="0"/>
  </x:cellStyleXfs>
  <x:cellXfs count="1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2" xfId="0" applyNumberFormat="1" applyFont="1" applyFill="1" applyBorder="1" applyAlignment="1">
      <x:alignment vertical="center" wrapText="1"/>
    </x:xf>
    <x:xf numFmtId="0" fontId="9" fillId="8" borderId="3" xfId="0" applyNumberFormat="1" applyFont="1" applyFill="1" applyBorder="1" applyAlignment="1">
      <x:alignment vertical="center" wrapText="1"/>
    </x:xf>
    <x:xf numFmtId="0" fontId="9" fillId="8" borderId="4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200" fontId="6" fillId="9" borderId="2" xfId="0" applyNumberFormat="1" applyFont="1" applyFill="1" applyBorder="1" applyAlignment="1">
      <x:alignment vertical="center" wrapText="1"/>
    </x:xf>
    <x:xf numFmtId="200" fontId="6" fillId="9" borderId="3" xfId="0" applyNumberFormat="1" applyFont="1" applyFill="1" applyBorder="1" applyAlignment="1">
      <x:alignment vertical="center" wrapText="1"/>
    </x:xf>
    <x:xf numFmtId="200" fontId="6" fillId="9" borderId="4" xfId="0" applyNumberFormat="1" applyFont="1" applyFill="1" applyBorder="1" applyAlignment="1">
      <x:alignment vertical="center" wrapText="1"/>
    </x:xf>
    <x:xf numFmtId="201" fontId="6" fillId="9" borderId="2" xfId="0" applyNumberFormat="1" applyFont="1" applyFill="1" applyBorder="1" applyAlignment="1">
      <x:alignment vertical="center" wrapText="1"/>
    </x:xf>
    <x:xf numFmtId="201" fontId="6" fillId="9" borderId="3" xfId="0" applyNumberFormat="1" applyFont="1" applyFill="1" applyBorder="1" applyAlignment="1">
      <x:alignment vertical="center" wrapText="1"/>
    </x:xf>
    <x:xf numFmtId="201" fontId="6" fillId="9" borderId="4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202" fontId="6" fillId="9" borderId="2" xfId="0" applyNumberFormat="1" applyFont="1" applyFill="1" applyBorder="1" applyAlignment="1">
      <x:alignment vertical="center" wrapText="1"/>
    </x:xf>
    <x:xf numFmtId="202" fontId="6" fillId="9" borderId="3" xfId="0" applyNumberFormat="1" applyFont="1" applyFill="1" applyBorder="1" applyAlignment="1">
      <x:alignment vertical="center" wrapText="1"/>
    </x:xf>
    <x:xf numFmtId="202" fontId="6" fillId="9" borderId="4" xfId="0" applyNumberFormat="1" applyFont="1" applyFill="1" applyBorder="1" applyAlignment="1">
      <x:alignment vertical="center" wrapText="1"/>
    </x:xf>
    <x:xf numFmtId="203" fontId="6" fillId="9" borderId="2" xfId="0" applyNumberFormat="1" applyFont="1" applyFill="1" applyBorder="1" applyAlignment="1">
      <x:alignment vertical="center" wrapText="1"/>
    </x:xf>
    <x:xf numFmtId="203" fontId="6" fillId="9" borderId="3" xfId="0" applyNumberFormat="1" applyFont="1" applyFill="1" applyBorder="1" applyAlignment="1">
      <x:alignment vertical="center" wrapText="1"/>
    </x:xf>
    <x:xf numFmtId="203" fontId="6" fillId="9" borderId="4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4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11" fillId="6" borderId="8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>
      <x:alignment horizontal="center"/>
    </x:xf>
    <x:xf numFmtId="0" fontId="10" fillId="0" borderId="11" xfId="0" applyNumberFormat="1" applyFont="1" applyFill="1" applyBorder="1"/>
    <x:xf numFmtId="200" fontId="10" fillId="0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5" xfId="0" applyNumberFormat="1" applyFont="1" applyFill="1" applyBorder="1"/>
    <x:xf numFmtId="200" fontId="10" fillId="0" borderId="1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8" xfId="0" applyNumberFormat="1" applyFont="1" applyFill="1" applyBorder="1"/>
    <x:xf numFmtId="0" fontId="12" fillId="4" borderId="9" xfId="0" applyNumberFormat="1" applyFont="1" applyFill="1" applyBorder="1"/>
    <x:xf numFmtId="0" fontId="12" fillId="4" borderId="10" xfId="0" applyNumberFormat="1" applyFont="1" applyFill="1" applyBorder="1"/>
    <x:xf numFmtId="0" fontId="12" fillId="4" borderId="11" xfId="0" applyNumberFormat="1" applyFont="1" applyFill="1" applyBorder="1"/>
    <x:xf numFmtId="0" fontId="12" fillId="4" borderId="12" xfId="0" applyNumberFormat="1" applyFont="1" applyFill="1" applyBorder="1"/>
    <x:xf numFmtId="0" fontId="12" fillId="4" borderId="13" xfId="0" applyNumberFormat="1" applyFont="1" applyFill="1" applyBorder="1"/>
    <x:xf numFmtId="0" fontId="12" fillId="4" borderId="5" xfId="0" applyNumberFormat="1" applyFont="1" applyFill="1" applyBorder="1"/>
    <x:xf numFmtId="0" fontId="12" fillId="4" borderId="14" xfId="0" applyNumberFormat="1" applyFont="1" applyFill="1" applyBorder="1"/>
    <x:xf numFmtId="0" fontId="12" fillId="4" borderId="8" xfId="0" applyNumberFormat="1" applyFont="1" applyFill="1" applyBorder="1" applyAlignment="1">
      <x:alignment wrapText="1"/>
    </x:xf>
    <x:xf numFmtId="0" fontId="12" fillId="4" borderId="9" xfId="0" applyNumberFormat="1" applyFont="1" applyFill="1" applyBorder="1" applyAlignment="1">
      <x:alignment wrapText="1"/>
    </x:xf>
    <x:xf numFmtId="0" fontId="12" fillId="4" borderId="10" xfId="0" applyNumberFormat="1" applyFont="1" applyFill="1" applyBorder="1" applyAlignment="1">
      <x:alignment wrapText="1"/>
    </x:xf>
    <x:xf numFmtId="0" fontId="12" fillId="4" borderId="11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12" fillId="4" borderId="12" xfId="0" applyNumberFormat="1" applyFont="1" applyFill="1" applyBorder="1" applyAlignment="1">
      <x:alignment wrapText="1"/>
    </x:xf>
    <x:xf numFmtId="0" fontId="12" fillId="4" borderId="13" xfId="0" applyNumberFormat="1" applyFont="1" applyFill="1" applyBorder="1" applyAlignment="1">
      <x:alignment wrapText="1"/>
    </x:xf>
    <x:xf numFmtId="0" fontId="12" fillId="4" borderId="5" xfId="0" applyNumberFormat="1" applyFont="1" applyFill="1" applyBorder="1" applyAlignment="1">
      <x:alignment wrapText="1"/>
    </x:xf>
    <x:xf numFmtId="0" fontId="12" fillId="4" borderId="14" xfId="0" applyNumberFormat="1" applyFont="1" applyFill="1" applyBorder="1" applyAlignment="1">
      <x:alignment wrapText="1"/>
    </x:xf>
    <x:xf numFmtId="0" fontId="12" fillId="4" borderId="8" xfId="0" applyNumberFormat="1" applyFont="1" applyFill="1" applyBorder="1" applyAlignment="1">
      <x:alignment vertical="top" wrapText="1"/>
    </x:xf>
    <x:xf numFmtId="0" fontId="12" fillId="4" borderId="9" xfId="0" applyNumberFormat="1" applyFont="1" applyFill="1" applyBorder="1" applyAlignment="1">
      <x:alignment vertical="top" wrapText="1"/>
    </x:xf>
    <x:xf numFmtId="0" fontId="12" fillId="4" borderId="10" xfId="0" applyNumberFormat="1" applyFont="1" applyFill="1" applyBorder="1" applyAlignment="1">
      <x:alignment vertical="top" wrapText="1"/>
    </x:xf>
    <x:xf numFmtId="0" fontId="12" fillId="4" borderId="11" xfId="0" applyNumberFormat="1" applyFont="1" applyFill="1" applyBorder="1" applyAlignment="1">
      <x:alignment vertical="top" wrapText="1"/>
    </x:xf>
    <x:xf numFmtId="0" fontId="12" fillId="4" borderId="0" xfId="0" applyNumberFormat="1" applyFont="1" applyFill="1" applyBorder="1" applyAlignment="1">
      <x:alignment vertical="top" wrapText="1"/>
    </x:xf>
    <x:xf numFmtId="0" fontId="12" fillId="4" borderId="12" xfId="0" applyNumberFormat="1" applyFont="1" applyFill="1" applyBorder="1" applyAlignment="1">
      <x:alignment vertical="top" wrapText="1"/>
    </x:xf>
    <x:xf numFmtId="0" fontId="12" fillId="4" borderId="13" xfId="0" applyNumberFormat="1" applyFont="1" applyFill="1" applyBorder="1" applyAlignment="1">
      <x:alignment vertical="top" wrapText="1"/>
    </x:xf>
    <x:xf numFmtId="0" fontId="12" fillId="4" borderId="5" xfId="0" applyNumberFormat="1" applyFont="1" applyFill="1" applyBorder="1" applyAlignment="1">
      <x:alignment vertical="top" wrapText="1"/>
    </x:xf>
    <x:xf numFmtId="0" fontId="12" fillId="4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addbd1a284e90" /><Relationship Type="http://schemas.openxmlformats.org/officeDocument/2006/relationships/theme" Target="/xl/theme/theme1.xml" Id="R1ca7581216ff4dd1" /><Relationship Type="http://schemas.openxmlformats.org/officeDocument/2006/relationships/sharedStrings" Target="/xl/sharedStrings.xml" Id="R66effa41af7f4b0c" /><Relationship Type="http://schemas.openxmlformats.org/officeDocument/2006/relationships/worksheet" Target="/xl/worksheets/sheet1.xml" Id="R7493cf4e204247c2" /><Relationship Type="http://schemas.openxmlformats.org/officeDocument/2006/relationships/worksheet" Target="/xl/worksheets/sheet2.xml" Id="R77b8067563234135" /><Relationship Type="http://schemas.openxmlformats.org/officeDocument/2006/relationships/worksheet" Target="/xl/worksheets/sheet3.xml" Id="R3ac037c96bbe45d8" /><Relationship Type="http://schemas.openxmlformats.org/officeDocument/2006/relationships/worksheet" Target="/xl/worksheets/sheet4.xml" Id="R3c92cefe48a0437b" /><Relationship Type="http://schemas.openxmlformats.org/officeDocument/2006/relationships/worksheet" Target="/xl/worksheets/sheet5.xml" Id="Rec806e007f534fae" /><Relationship Type="http://schemas.openxmlformats.org/officeDocument/2006/relationships/worksheet" Target="/xl/worksheets/sheet6.xml" Id="R87e7ae6951924508" /><Relationship Type="http://schemas.openxmlformats.org/officeDocument/2006/relationships/worksheet" Target="/xl/worksheets/sheet7.xml" Id="R4806597d51d441b5" /><Relationship Type="http://schemas.openxmlformats.org/officeDocument/2006/relationships/worksheet" Target="/xl/worksheets/sheet8.xml" Id="R56c781f252a54971" /></Relationships>
</file>

<file path=xl/tables/table1.xml><?xml version="1.0" encoding="utf-8"?>
<x:table xmlns:x="http://schemas.openxmlformats.org/spreadsheetml/2006/main" id="1" name="MuestraTransacciones" displayName="MuestraTransacciones" ref="A1:K21" headerRowCount="1" totalsRowCount="0" totalsRowShown="0">
  <x:tableColumns count="11">
    <x:tableColumn id="1" name="Transacción"/>
    <x:tableColumn id="2" name="Año"/>
    <x:tableColumn id="3" name="Cliente"/>
    <x:tableColumn id="4" name="País"/>
    <x:tableColumn id="5" name="Segmento"/>
    <x:tableColumn id="6" name="Canal"/>
    <x:tableColumn id="7" name="Grupo canal"/>
    <x:tableColumn id="8" name="Digital"/>
    <x:tableColumn id="9" name="Estado"/>
    <x:tableColumn id="10" name="Monto USD"/>
    <x:tableColumn id="11" name="Monto absolu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c46167f0c5c643ab" /></Relationships>
</file>

<file path=xl/worksheets/sheet1.xml><?xml version="1.0" encoding="utf-8"?>
<x:worksheet xmlns:x="http://schemas.openxmlformats.org/spreadsheetml/2006/main">
  <x:sheetPr>
    <x:tabColor rgb="FF161616"/>
  </x:sheetPr>
  <x:sheetViews>
    <x:sheetView showGridLines="0" workbookViewId="0"/>
  </x:sheetViews>
  <x:sheetFormatPr defaultRowHeight="15"/>
  <x:cols>
    <x:col min="1" max="1" width="25" hidden="0" customWidth="1"/>
    <x:col min="8" max="8" width="25" hidden="0" customWidth="1"/>
    <x:col min="2" max="2" width="22" hidden="0" customWidth="1"/>
    <x:col min="3" max="3" width="22" hidden="0" customWidth="1"/>
    <x:col min="9" max="9" width="22" hidden="0" customWidth="1"/>
    <x:col min="4" max="4" width="18" hidden="0" customWidth="1"/>
    <x:col min="5" max="5" width="18" hidden="0" customWidth="1"/>
    <x:col min="6" max="6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7" max="7" width="3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5" t="str">
        <x:v>Ejercicios de DAX avanzado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4" customHeight="1">
      <x:c r="A4" s="6" t="str">
        <x:v>Fichas para practicar contextos, transición y modificación de filtros con una muestra bancaria controlada.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6" customHeight="1">
      <x:c r="A6" s="9" t="str">
        <x:v>CÓMO USAR EL ARCHIVO</x:v>
      </x:c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42" customHeight="1">
      <x:c r="A8" s="16" t="str">
        <x:v>1</x:v>
      </x:c>
      <x:c r="B8" s="17" t="str">
        <x:v>Revise la muestra</x:v>
      </x:c>
      <x:c r="C8" s="17"/>
      <x:c r="D8" s="17"/>
      <x:c r="E8" s="18" t="str">
        <x:v>Abra Datos muestra. Cada fila representa una transacción; Monto absoluto permite validar volumen sin cancelar cargos y abonos.</x:v>
      </x:c>
      <x:c r="F8" s="18"/>
      <x:c r="G8" s="18"/>
      <x:c r="H8" s="18"/>
      <x:c r="I8" s="18"/>
      <x:c r="J8" s="18"/>
      <x:c r="K8" s="18"/>
      <x:c r="L8" s="18"/>
      <x:c r="M8" s="19"/>
    </x:row>
    <x:row r="9" ht="42" customHeight="1">
      <x:c r="A9" s="16" t="str">
        <x:v>2</x:v>
      </x:c>
      <x:c r="B9" s="17" t="str">
        <x:v>Complete la ficha</x:v>
      </x:c>
      <x:c r="C9" s="17"/>
      <x:c r="D9" s="17"/>
      <x:c r="E9" s="18" t="str">
        <x:v>En cada tema, escriba primero su hipótesis y el código DAX en las celdas amarillas del lado izquierdo.</x:v>
      </x:c>
      <x:c r="F9" s="18"/>
      <x:c r="G9" s="18"/>
      <x:c r="H9" s="18"/>
      <x:c r="I9" s="18"/>
      <x:c r="J9" s="18"/>
      <x:c r="K9" s="18"/>
      <x:c r="L9" s="18"/>
      <x:c r="M9" s="19"/>
    </x:row>
    <x:row r="10" ht="42" customHeight="1">
      <x:c r="A10" s="16" t="str">
        <x:v>3</x:v>
      </x:c>
      <x:c r="B10" s="17" t="str">
        <x:v>Construya en Power BI</x:v>
      </x:c>
      <x:c r="C10" s="17"/>
      <x:c r="D10" s="17"/>
      <x:c r="E10" s="18" t="str">
        <x:v>Use los nombres reales de tablas y campos. Cree medidas, salvo cuando la ficha solicite expresamente una columna calculada.</x:v>
      </x:c>
      <x:c r="F10" s="18"/>
      <x:c r="G10" s="18"/>
      <x:c r="H10" s="18"/>
      <x:c r="I10" s="18"/>
      <x:c r="J10" s="18"/>
      <x:c r="K10" s="18"/>
      <x:c r="L10" s="18"/>
      <x:c r="M10" s="19"/>
    </x:row>
    <x:row r="11" ht="42" customHeight="1">
      <x:c r="A11" s="16" t="str">
        <x:v>4</x:v>
      </x:c>
      <x:c r="B11" s="17" t="str">
        <x:v>Compare con el ejemplo</x:v>
      </x:c>
      <x:c r="C11" s="17"/>
      <x:c r="D11" s="17"/>
      <x:c r="E11" s="18" t="str">
        <x:v>El lado derecho muestra una solución posible y un resultado calculado con fórmulas de Excel sobre la muestra.</x:v>
      </x:c>
      <x:c r="F11" s="18"/>
      <x:c r="G11" s="18"/>
      <x:c r="H11" s="18"/>
      <x:c r="I11" s="18"/>
      <x:c r="J11" s="18"/>
      <x:c r="K11" s="18"/>
      <x:c r="L11" s="18"/>
      <x:c r="M11" s="19"/>
    </x:row>
    <x:row r="12" ht="42" customHeight="1">
      <x:c r="A12" s="16" t="str">
        <x:v>5</x:v>
      </x:c>
      <x:c r="B12" s="17" t="str">
        <x:v>Explique el contexto</x:v>
      </x:c>
      <x:c r="C12" s="17"/>
      <x:c r="D12" s="17"/>
      <x:c r="E12" s="18" t="str">
        <x:v>No acepte sólo el número. Describa la fila actual, los filtros iniciales y los filtros que se agregan o retiran.</x:v>
      </x:c>
      <x:c r="F12" s="18"/>
      <x:c r="G12" s="18"/>
      <x:c r="H12" s="18"/>
      <x:c r="I12" s="18"/>
      <x:c r="J12" s="18"/>
      <x:c r="K12" s="18"/>
      <x:c r="L12" s="18"/>
      <x:c r="M12" s="19"/>
    </x:row>
    <x:row r="13" ht="42" customHeight="1">
      <x:c r="A13" s="16" t="str">
        <x:v>6</x:v>
      </x:c>
      <x:c r="B13" s="17" t="str">
        <x:v>Valide antes de avanzar</x:v>
      </x:c>
      <x:c r="C13" s="17"/>
      <x:c r="D13" s="17"/>
      <x:c r="E13" s="18" t="str">
        <x:v>Cambie año, país o canal en Power BI y confirme que el resultado responde como indica la ficha.</x:v>
      </x:c>
      <x:c r="F13" s="18"/>
      <x:c r="G13" s="18"/>
      <x:c r="H13" s="18"/>
      <x:c r="I13" s="18"/>
      <x:c r="J13" s="18"/>
      <x:c r="K13" s="18"/>
      <x:c r="L13" s="18"/>
      <x:c r="M13" s="19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>
      <x:c r="A16" s="22" t="str">
        <x:v>RECORRIDO RECOMENDADO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>
      <x:c r="A18" s="9" t="str">
        <x:v>Ficha</x:v>
      </x:c>
      <x:c r="B18" s="9"/>
      <x:c r="C18" s="9"/>
      <x:c r="D18" s="9"/>
      <x:c r="E18" s="9" t="str">
        <x:v>Propósito</x:v>
      </x:c>
      <x:c r="F18" s="9"/>
      <x:c r="G18" s="9"/>
      <x:c r="H18" s="9"/>
      <x:c r="I18" s="9" t="str">
        <x:v>Producto</x:v>
      </x:c>
      <x:c r="J18" s="9"/>
      <x:c r="K18" s="9"/>
      <x:c r="L18" s="9"/>
      <x:c r="M18" s="9"/>
    </x:row>
    <x:row r="19" ht="32" customHeight="1">
      <x:c r="A19" s="23" t="str">
        <x:v>01 Contextos</x:v>
      </x:c>
      <x:c r="B19" s="23"/>
      <x:c r="C19" s="23"/>
      <x:c r="D19" s="23"/>
      <x:c r="E19" s="23" t="str">
        <x:v>Identificar fila y filtros</x:v>
      </x:c>
      <x:c r="F19" s="23"/>
      <x:c r="G19" s="23"/>
      <x:c r="H19" s="23"/>
      <x:c r="I19" s="23" t="str">
        <x:v>Columna calculada y medida sensible al visual</x:v>
      </x:c>
      <x:c r="J19" s="23"/>
      <x:c r="K19" s="23"/>
      <x:c r="L19" s="23"/>
      <x:c r="M19" s="23"/>
    </x:row>
    <x:row r="20" ht="32" customHeight="1">
      <x:c r="A20" s="24" t="str">
        <x:v>02 Transición</x:v>
      </x:c>
      <x:c r="B20" s="24"/>
      <x:c r="C20" s="24"/>
      <x:c r="D20" s="24"/>
      <x:c r="E20" s="24" t="str">
        <x:v>Convertir fila actual en filtro</x:v>
      </x:c>
      <x:c r="F20" s="24"/>
      <x:c r="G20" s="24"/>
      <x:c r="H20" s="24"/>
      <x:c r="I20" s="24" t="str">
        <x:v>Conteo por cliente y promedio por entidad</x:v>
      </x:c>
      <x:c r="J20" s="24"/>
      <x:c r="K20" s="24"/>
      <x:c r="L20" s="24"/>
      <x:c r="M20" s="24"/>
    </x:row>
    <x:row r="21" ht="32" customHeight="1">
      <x:c r="A21" s="23" t="str">
        <x:v>03 CALCULATE</x:v>
      </x:c>
      <x:c r="B21" s="23"/>
      <x:c r="C21" s="23"/>
      <x:c r="D21" s="23"/>
      <x:c r="E21" s="23" t="str">
        <x:v>Agregar, reemplazar e intersectar filtros</x:v>
      </x:c>
      <x:c r="F21" s="23"/>
      <x:c r="G21" s="23"/>
      <x:c r="H21" s="23"/>
      <x:c r="I21" s="23" t="str">
        <x:v>Tasa de rechazo y actividad digital</x:v>
      </x:c>
      <x:c r="J21" s="23"/>
      <x:c r="K21" s="23"/>
      <x:c r="L21" s="23"/>
      <x:c r="M21" s="23"/>
    </x:row>
    <x:row r="22" ht="32" customHeight="1">
      <x:c r="A22" s="24" t="str">
        <x:v>04 FILTER</x:v>
      </x:c>
      <x:c r="B22" s="24"/>
      <x:c r="C22" s="24"/>
      <x:c r="D22" s="24"/>
      <x:c r="E22" s="24" t="str">
        <x:v>Evaluar una condición por fila</x:v>
      </x:c>
      <x:c r="F22" s="24"/>
      <x:c r="G22" s="24"/>
      <x:c r="H22" s="24"/>
      <x:c r="I22" s="24" t="str">
        <x:v>Operaciones cuyo importe absoluto supera un umbral</x:v>
      </x:c>
      <x:c r="J22" s="24"/>
      <x:c r="K22" s="24"/>
      <x:c r="L22" s="24"/>
      <x:c r="M22" s="24"/>
    </x:row>
    <x:row r="23" ht="32" customHeight="1">
      <x:c r="A23" s="23" t="str">
        <x:v>05 ALL</x:v>
      </x:c>
      <x:c r="B23" s="23"/>
      <x:c r="C23" s="23"/>
      <x:c r="D23" s="23"/>
      <x:c r="E23" s="23" t="str">
        <x:v>Diseñar denominadores</x:v>
      </x:c>
      <x:c r="F23" s="23"/>
      <x:c r="G23" s="23"/>
      <x:c r="H23" s="23"/>
      <x:c r="I23" s="23" t="str">
        <x:v>Participación total, por grupo y dentro de lo visible</x:v>
      </x:c>
      <x:c r="J23" s="23"/>
      <x:c r="K23" s="23"/>
      <x:c r="L23" s="23"/>
      <x:c r="M23" s="23"/>
    </x:row>
    <x:row r="24" ht="32" customHeight="1">
      <x:c r="A24" s="24" t="str">
        <x:v>06 VALUES</x:v>
      </x:c>
      <x:c r="B24" s="24"/>
      <x:c r="C24" s="24"/>
      <x:c r="D24" s="24"/>
      <x:c r="E24" s="24" t="str">
        <x:v>Construir listas de entidades visibles</x:v>
      </x:c>
      <x:c r="F24" s="24"/>
      <x:c r="G24" s="24"/>
      <x:c r="H24" s="24"/>
      <x:c r="I24" s="24" t="str">
        <x:v>Conteos, promedios por entidad y texto de filtros</x:v>
      </x:c>
      <x:c r="J24" s="24"/>
      <x:c r="K24" s="24"/>
      <x:c r="L24" s="24"/>
      <x:c r="M24" s="24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4:M4"/>
    <x:mergeCell ref="A6:M6"/>
    <x:mergeCell ref="B8:D8"/>
    <x:mergeCell ref="E8:M8"/>
    <x:mergeCell ref="B9:D9"/>
    <x:mergeCell ref="E9:M9"/>
    <x:mergeCell ref="B10:D10"/>
    <x:mergeCell ref="E10:M10"/>
    <x:mergeCell ref="B11:D11"/>
    <x:mergeCell ref="E11:M11"/>
    <x:mergeCell ref="B12:D12"/>
    <x:mergeCell ref="E12:M12"/>
    <x:mergeCell ref="B13:D13"/>
    <x:mergeCell ref="E13:M13"/>
    <x:mergeCell ref="A16:M16"/>
    <x:mergeCell ref="A18:D18"/>
    <x:mergeCell ref="E18:H18"/>
    <x:mergeCell ref="I18:M18"/>
    <x:mergeCell ref="A19:D19"/>
    <x:mergeCell ref="E19:H19"/>
    <x:mergeCell ref="I19:M19"/>
    <x:mergeCell ref="A20:D20"/>
    <x:mergeCell ref="E20:H20"/>
    <x:mergeCell ref="I20:M20"/>
    <x:mergeCell ref="A21:D21"/>
    <x:mergeCell ref="E21:H21"/>
    <x:mergeCell ref="I21:M21"/>
    <x:mergeCell ref="A22:D22"/>
    <x:mergeCell ref="E22:H22"/>
    <x:mergeCell ref="I22:M22"/>
    <x:mergeCell ref="A23:D23"/>
    <x:mergeCell ref="E23:H23"/>
    <x:mergeCell ref="I23:M23"/>
    <x:mergeCell ref="A24:D24"/>
    <x:mergeCell ref="E24:H24"/>
    <x:mergeCell ref="I24:M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8" max="8" width="25" hidden="0" customWidth="1"/>
    <x:col min="2" max="2" width="22" hidden="0" customWidth="1"/>
    <x:col min="3" max="3" width="22" hidden="0" customWidth="1"/>
    <x:col min="9" max="9" width="22" hidden="0" customWidth="1"/>
    <x:col min="4" max="4" width="18" hidden="0" customWidth="1"/>
    <x:col min="5" max="5" width="18" hidden="0" customWidth="1"/>
    <x:col min="6" max="6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7" max="7" width="3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5" t="str">
        <x:v>Ficha 1. Contexto de fila y contexto de filtro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4" customHeight="1">
      <x:c r="A4" s="6" t="str">
        <x:v>Identifique qué contexto existe antes de interpretar una expresión DAX.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6" customHeight="1">
      <x:c r="A6" s="9" t="str">
        <x:v>EJERCICIO PARA COMPLETAR</x:v>
      </x:c>
      <x:c r="B6" s="9"/>
      <x:c r="C6" s="9"/>
      <x:c r="D6" s="9"/>
      <x:c r="E6" s="9"/>
      <x:c r="F6" s="9"/>
      <x:c r="G6" s="3"/>
      <x:c r="H6" s="9" t="str">
        <x:v>EJEMPLO RESUELTO</x:v>
      </x:c>
      <x:c r="I6" s="9"/>
      <x:c r="J6" s="9"/>
      <x:c r="K6" s="9"/>
      <x:c r="L6" s="9"/>
      <x:c r="M6" s="9"/>
    </x:row>
    <x:row r="7" ht="38" customHeight="1">
      <x:c r="A7" s="25" t="str">
        <x:v>Tipo de objeto</x:v>
      </x:c>
      <x:c r="B7" s="26"/>
      <x:c r="C7" s="28" t="str">
        <x:v>Indique si construirá una medida o una columna calculada.</x:v>
      </x:c>
      <x:c r="D7" s="29"/>
      <x:c r="E7" s="29"/>
      <x:c r="F7" s="30"/>
      <x:c r="G7" s="3"/>
      <x:c r="H7" s="25" t="str">
        <x:v>Tipo de objeto</x:v>
      </x:c>
      <x:c r="I7" s="26"/>
      <x:c r="J7" s="32" t="str">
        <x:v>Columna calculada para el primer ejemplo; medida para el segundo.</x:v>
      </x:c>
      <x:c r="K7" s="33"/>
      <x:c r="L7" s="33"/>
      <x:c r="M7" s="34"/>
    </x:row>
    <x:row r="8" ht="38" customHeight="1">
      <x:c r="A8" s="25" t="str">
        <x:v>Pregunta de fila</x:v>
      </x:c>
      <x:c r="B8" s="26"/>
      <x:c r="C8" s="28" t="str">
        <x:v>¿Qué debe calcularse para cada transacción?</x:v>
      </x:c>
      <x:c r="D8" s="29"/>
      <x:c r="E8" s="29"/>
      <x:c r="F8" s="30"/>
      <x:c r="G8" s="3"/>
      <x:c r="H8" s="25" t="str">
        <x:v>Pregunta de fila</x:v>
      </x:c>
      <x:c r="I8" s="26"/>
      <x:c r="J8" s="32" t="str">
        <x:v>Obtener el importe absoluto de cada transacción.</x:v>
      </x:c>
      <x:c r="K8" s="33"/>
      <x:c r="L8" s="33"/>
      <x:c r="M8" s="34"/>
    </x:row>
    <x:row r="9" ht="64" customHeight="1">
      <x:c r="A9" s="25" t="str">
        <x:v>Código de fila</x:v>
      </x:c>
      <x:c r="B9" s="26"/>
      <x:c r="C9" s="37" t="str">
        <x:v>Escriba la columna calculada Monto absoluto USD.</x:v>
      </x:c>
      <x:c r="D9" s="38"/>
      <x:c r="E9" s="38"/>
      <x:c r="F9" s="39"/>
      <x:c r="G9" s="3"/>
      <x:c r="H9" s="25" t="str">
        <x:v>Código de fila</x:v>
      </x:c>
      <x:c r="I9" s="26"/>
      <x:c r="J9" s="42" t="str">
        <x:v>Monto absoluto USD =
ABS ( fact_transaccion[monto_usd] )</x:v>
      </x:c>
      <x:c r="K9" s="43"/>
      <x:c r="L9" s="43"/>
      <x:c r="M9" s="44"/>
    </x:row>
    <x:row r="10" ht="38" customHeight="1">
      <x:c r="A10" s="25" t="str">
        <x:v>Fila de prueba</x:v>
      </x:c>
      <x:c r="B10" s="26"/>
      <x:c r="C10" s="28" t="str">
        <x:v>Use TX00000001 y anticipe el resultado.</x:v>
      </x:c>
      <x:c r="D10" s="29"/>
      <x:c r="E10" s="29"/>
      <x:c r="F10" s="30"/>
      <x:c r="G10" s="3"/>
      <x:c r="H10" s="25" t="str">
        <x:v>Resultado TX00000001</x:v>
      </x:c>
      <x:c r="I10" s="26"/>
      <x:c r="J10" s="50" t="n">
        <x:f>ABS('Datos muestra'!J2)</x:f>
        <x:v>9770.22</x:v>
      </x:c>
      <x:c r="K10" s="51"/>
      <x:c r="L10" s="51"/>
      <x:c r="M10" s="52"/>
    </x:row>
    <x:row r="11" ht="38" customHeight="1">
      <x:c r="A11" s="25" t="str">
        <x:v>Pregunta de filtro</x:v>
      </x:c>
      <x:c r="B11" s="26"/>
      <x:c r="C11" s="28" t="str">
        <x:v>Defina un conteo de transacciones contabilizadas.</x:v>
      </x:c>
      <x:c r="D11" s="29"/>
      <x:c r="E11" s="29"/>
      <x:c r="F11" s="30"/>
      <x:c r="G11" s="3"/>
      <x:c r="H11" s="25" t="str">
        <x:v>Pregunta de filtro</x:v>
      </x:c>
      <x:c r="I11" s="26"/>
      <x:c r="J11" s="32" t="str">
        <x:v>Contar filas compatibles con los filtros del visual y estado Contabilizada.</x:v>
      </x:c>
      <x:c r="K11" s="33"/>
      <x:c r="L11" s="33"/>
      <x:c r="M11" s="34"/>
    </x:row>
    <x:row r="12" ht="96" customHeight="1">
      <x:c r="A12" s="25" t="str">
        <x:v>Código de medida</x:v>
      </x:c>
      <x:c r="B12" s="26"/>
      <x:c r="C12" s="37" t="str">
        <x:v>Escriba Transacciones contabilizadas con CALCULATE.</x:v>
      </x:c>
      <x:c r="D12" s="38"/>
      <x:c r="E12" s="38"/>
      <x:c r="F12" s="39"/>
      <x:c r="G12" s="3"/>
      <x:c r="H12" s="25" t="str">
        <x:v>Código de medida</x:v>
      </x:c>
      <x:c r="I12" s="26"/>
      <x:c r="J12" s="42" t="str">
        <x:v>Transacciones contabilizadas =
CALCULATE (
    COUNTROWS ( fact_transaccion ),
    fact_transaccion[estado] = "Contabilizada"
)</x:v>
      </x:c>
      <x:c r="K12" s="43"/>
      <x:c r="L12" s="43"/>
      <x:c r="M12" s="44"/>
    </x:row>
    <x:row r="13" ht="38" customHeight="1">
      <x:c r="A13" s="25" t="str">
        <x:v>Contexto de prueba</x:v>
      </x:c>
      <x:c r="B13" s="26"/>
      <x:c r="C13" s="28" t="str">
        <x:v>Año 2025, país México y canal App móvil.</x:v>
      </x:c>
      <x:c r="D13" s="29"/>
      <x:c r="E13" s="29"/>
      <x:c r="F13" s="30"/>
      <x:c r="G13" s="3"/>
      <x:c r="H13" s="25" t="str">
        <x:v>Filtros aplicados</x:v>
      </x:c>
      <x:c r="I13" s="26"/>
      <x:c r="J13" s="32" t="str">
        <x:v>Año = 2025; país = México; canal = App móvil; estado = Contabilizada.</x:v>
      </x:c>
      <x:c r="K13" s="33"/>
      <x:c r="L13" s="33"/>
      <x:c r="M13" s="34"/>
    </x:row>
    <x:row r="14" ht="38" customHeight="1">
      <x:c r="A14" s="25" t="str">
        <x:v>Resultado esperado</x:v>
      </x:c>
      <x:c r="B14" s="26"/>
      <x:c r="C14" s="28" t="str">
        <x:v>Calcule cuántas filas sobreviven a la intersección.</x:v>
      </x:c>
      <x:c r="D14" s="29"/>
      <x:c r="E14" s="29"/>
      <x:c r="F14" s="30"/>
      <x:c r="G14" s="3"/>
      <x:c r="H14" s="25" t="str">
        <x:v>Conteo esperado</x:v>
      </x:c>
      <x:c r="I14" s="26"/>
      <x:c r="J14" s="53" t="n">
        <x:f>COUNTIFS('Datos muestra'!$B$2:$B$21,2025,'Datos muestra'!$D$2:$D$21,"México",'Datos muestra'!$F$2:$F$21,"App móvil",'Datos muestra'!$I$2:$I$21,"Contabilizada")</x:f>
        <x:v>1</x:v>
      </x:c>
      <x:c r="K14" s="54"/>
      <x:c r="L14" s="54"/>
      <x:c r="M14" s="55"/>
    </x:row>
    <x:row r="15" ht="52" customHeight="1">
      <x:c r="A15" s="25" t="str">
        <x:v>Explicación</x:v>
      </x:c>
      <x:c r="B15" s="26"/>
      <x:c r="C15" s="28" t="str">
        <x:v>Describa qué aporta la fila y qué aporta el filtro.</x:v>
      </x:c>
      <x:c r="D15" s="29"/>
      <x:c r="E15" s="29"/>
      <x:c r="F15" s="30"/>
      <x:c r="G15" s="3"/>
      <x:c r="H15" s="25" t="str">
        <x:v>Explicación</x:v>
      </x:c>
      <x:c r="I15" s="26"/>
      <x:c r="J15" s="32" t="str">
        <x:v>La columna lee el monto de la fila actual. La medida cuenta un conjunto definido por visuales, relaciones y el filtro de estado.</x:v>
      </x:c>
      <x:c r="K15" s="33"/>
      <x:c r="L15" s="33"/>
      <x:c r="M15" s="34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46" customHeight="1">
      <x:c r="A17" s="57" t="str">
        <x:v>Resultado esperado</x:v>
      </x:c>
      <x:c r="B17" s="58"/>
      <x:c r="C17" s="25" t="str">
        <x:v>Dos expresiones correctas y una explicación de sus contextos.</x:v>
      </x:c>
      <x:c r="D17" s="17"/>
      <x:c r="E17" s="17"/>
      <x:c r="F17" s="26"/>
      <x:c r="G17" s="3"/>
      <x:c r="H17" s="57" t="str">
        <x:v>Resultado del ejemplo</x:v>
      </x:c>
      <x:c r="I17" s="58"/>
      <x:c r="J17" s="25" t="str">
        <x:v>La misma tabla produce resultados distintos porque la columna evalúa una fila y la medida evalúa un conjunto filtrado.</x:v>
      </x:c>
      <x:c r="K17" s="17"/>
      <x:c r="L17" s="17"/>
      <x:c r="M17" s="26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</x:row>
    <x:row r="20">
      <x:c r="A20" s="115" t="str">
        <x:v>Explique siempre el contexto inicial, la modificación aplicada y la granularidad del resultado.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4:M4"/>
    <x:mergeCell ref="A6:F6"/>
    <x:mergeCell ref="H6:M6"/>
    <x:mergeCell ref="A7:B7"/>
    <x:mergeCell ref="C7:F7"/>
    <x:mergeCell ref="H7:I7"/>
    <x:mergeCell ref="J7:M7"/>
    <x:mergeCell ref="A8:B8"/>
    <x:mergeCell ref="C8:F8"/>
    <x:mergeCell ref="H8:I8"/>
    <x:mergeCell ref="J8:M8"/>
    <x:mergeCell ref="A9:B9"/>
    <x:mergeCell ref="C9:F9"/>
    <x:mergeCell ref="H9:I9"/>
    <x:mergeCell ref="J9:M9"/>
    <x:mergeCell ref="A10:B10"/>
    <x:mergeCell ref="C10:F10"/>
    <x:mergeCell ref="H10:I10"/>
    <x:mergeCell ref="J10:M10"/>
    <x:mergeCell ref="A11:B11"/>
    <x:mergeCell ref="C11:F11"/>
    <x:mergeCell ref="H11:I11"/>
    <x:mergeCell ref="J11:M11"/>
    <x:mergeCell ref="A12:B12"/>
    <x:mergeCell ref="C12:F12"/>
    <x:mergeCell ref="H12:I12"/>
    <x:mergeCell ref="J12:M12"/>
    <x:mergeCell ref="A13:B13"/>
    <x:mergeCell ref="C13:F13"/>
    <x:mergeCell ref="H13:I13"/>
    <x:mergeCell ref="J13:M13"/>
    <x:mergeCell ref="A14:B14"/>
    <x:mergeCell ref="C14:F14"/>
    <x:mergeCell ref="H14:I14"/>
    <x:mergeCell ref="J14:M14"/>
    <x:mergeCell ref="A15:B15"/>
    <x:mergeCell ref="C15:F15"/>
    <x:mergeCell ref="H15:I15"/>
    <x:mergeCell ref="J15:M15"/>
    <x:mergeCell ref="A17:B17"/>
    <x:mergeCell ref="C17:F17"/>
    <x:mergeCell ref="H17:I17"/>
    <x:mergeCell ref="J17:M17"/>
    <x:mergeCell ref="A20:M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80F1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8" max="8" width="25" hidden="0" customWidth="1"/>
    <x:col min="2" max="2" width="22" hidden="0" customWidth="1"/>
    <x:col min="3" max="3" width="22" hidden="0" customWidth="1"/>
    <x:col min="9" max="9" width="22" hidden="0" customWidth="1"/>
    <x:col min="4" max="4" width="18" hidden="0" customWidth="1"/>
    <x:col min="5" max="5" width="18" hidden="0" customWidth="1"/>
    <x:col min="6" max="6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7" max="7" width="3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5" t="str">
        <x:v>Ficha 2. Transición de contexto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4" customHeight="1">
      <x:c r="A4" s="6" t="str">
        <x:v>Compruebe cómo CALCULATE convierte la fila actual en un filtro que alcanza la tabla de hechos.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6" customHeight="1">
      <x:c r="A6" s="9" t="str">
        <x:v>EJERCICIO PARA COMPLETAR</x:v>
      </x:c>
      <x:c r="B6" s="9"/>
      <x:c r="C6" s="9"/>
      <x:c r="D6" s="9"/>
      <x:c r="E6" s="9"/>
      <x:c r="F6" s="9"/>
      <x:c r="G6" s="3"/>
      <x:c r="H6" s="9" t="str">
        <x:v>EJEMPLO RESUELTO</x:v>
      </x:c>
      <x:c r="I6" s="9"/>
      <x:c r="J6" s="9"/>
      <x:c r="K6" s="9"/>
      <x:c r="L6" s="9"/>
      <x:c r="M6" s="9"/>
    </x:row>
    <x:row r="7" ht="38" customHeight="1">
      <x:c r="A7" s="25" t="str">
        <x:v>Entidad iterada</x:v>
      </x:c>
      <x:c r="B7" s="26"/>
      <x:c r="C7" s="28" t="str">
        <x:v>Elija la dimensión cuya fila actual se convertirá en filtro.</x:v>
      </x:c>
      <x:c r="D7" s="29"/>
      <x:c r="E7" s="29"/>
      <x:c r="F7" s="30"/>
      <x:c r="G7" s="3"/>
      <x:c r="H7" s="25" t="str">
        <x:v>Entidad iterada</x:v>
      </x:c>
      <x:c r="I7" s="26"/>
      <x:c r="J7" s="32" t="str">
        <x:v>Cliente: dim_cliente[cliente_id].</x:v>
      </x:c>
      <x:c r="K7" s="33"/>
      <x:c r="L7" s="33"/>
      <x:c r="M7" s="34"/>
    </x:row>
    <x:row r="8" ht="58" customHeight="1">
      <x:c r="A8" s="25" t="str">
        <x:v>Expresión sin transición</x:v>
      </x:c>
      <x:c r="B8" s="26"/>
      <x:c r="C8" s="37" t="str">
        <x:v>Escriba COUNTROWS directo en una columna de cliente.</x:v>
      </x:c>
      <x:c r="D8" s="38"/>
      <x:c r="E8" s="38"/>
      <x:c r="F8" s="39"/>
      <x:c r="G8" s="3"/>
      <x:c r="H8" s="25" t="str">
        <x:v>Expresión sin transición</x:v>
      </x:c>
      <x:c r="I8" s="26"/>
      <x:c r="J8" s="42" t="str">
        <x:v>Transacciones sin transición =
COUNTROWS ( fact_transaccion )</x:v>
      </x:c>
      <x:c r="K8" s="43"/>
      <x:c r="L8" s="43"/>
      <x:c r="M8" s="44"/>
    </x:row>
    <x:row r="9" ht="38" customHeight="1">
      <x:c r="A9" s="25" t="str">
        <x:v>Predicción</x:v>
      </x:c>
      <x:c r="B9" s="26"/>
      <x:c r="C9" s="28" t="str">
        <x:v>¿Qué resultado se repetirá en cada cliente?</x:v>
      </x:c>
      <x:c r="D9" s="29"/>
      <x:c r="E9" s="29"/>
      <x:c r="F9" s="30"/>
      <x:c r="G9" s="3"/>
      <x:c r="H9" s="25" t="str">
        <x:v>Predicción</x:v>
      </x:c>
      <x:c r="I9" s="26"/>
      <x:c r="J9" s="32" t="str">
        <x:v>El total global de la muestra se repetirá porque la fila del cliente no filtra el hecho.</x:v>
      </x:c>
      <x:c r="K9" s="33"/>
      <x:c r="L9" s="33"/>
      <x:c r="M9" s="34"/>
    </x:row>
    <x:row r="10" ht="38" customHeight="1">
      <x:c r="A10" s="25" t="str">
        <x:v>Total global</x:v>
      </x:c>
      <x:c r="B10" s="26"/>
      <x:c r="C10" s="28" t="str">
        <x:v>Valide el valor repetido sobre la muestra.</x:v>
      </x:c>
      <x:c r="D10" s="29"/>
      <x:c r="E10" s="29"/>
      <x:c r="F10" s="30"/>
      <x:c r="G10" s="3"/>
      <x:c r="H10" s="25" t="str">
        <x:v>Total global</x:v>
      </x:c>
      <x:c r="I10" s="26"/>
      <x:c r="J10" s="53" t="n">
        <x:f>COUNTA('Datos muestra'!$A$2:$A$21)</x:f>
        <x:v>20</x:v>
      </x:c>
      <x:c r="K10" s="54"/>
      <x:c r="L10" s="54"/>
      <x:c r="M10" s="55"/>
    </x:row>
    <x:row r="11" ht="62" customHeight="1">
      <x:c r="A11" s="25" t="str">
        <x:v>Expresión con transición</x:v>
      </x:c>
      <x:c r="B11" s="26"/>
      <x:c r="C11" s="37" t="str">
        <x:v>Envuelva el conteo con CALCULATE.</x:v>
      </x:c>
      <x:c r="D11" s="38"/>
      <x:c r="E11" s="38"/>
      <x:c r="F11" s="39"/>
      <x:c r="G11" s="3"/>
      <x:c r="H11" s="25" t="str">
        <x:v>Expresión con transición</x:v>
      </x:c>
      <x:c r="I11" s="26"/>
      <x:c r="J11" s="42" t="str">
        <x:v>Transacciones del cliente =
CALCULATE ( COUNTROWS ( fact_transaccion ) )</x:v>
      </x:c>
      <x:c r="K11" s="43"/>
      <x:c r="L11" s="43"/>
      <x:c r="M11" s="44"/>
    </x:row>
    <x:row r="12" ht="38" customHeight="1">
      <x:c r="A12" s="25" t="str">
        <x:v>Cliente de prueba</x:v>
      </x:c>
      <x:c r="B12" s="26"/>
      <x:c r="C12" s="28" t="str">
        <x:v>Use CL000384.</x:v>
      </x:c>
      <x:c r="D12" s="29"/>
      <x:c r="E12" s="29"/>
      <x:c r="F12" s="30"/>
      <x:c r="G12" s="3"/>
      <x:c r="H12" s="25" t="str">
        <x:v>Cliente de prueba</x:v>
      </x:c>
      <x:c r="I12" s="26"/>
      <x:c r="J12" s="32" t="str">
        <x:v>CL000384</x:v>
      </x:c>
      <x:c r="K12" s="33"/>
      <x:c r="L12" s="33"/>
      <x:c r="M12" s="34"/>
    </x:row>
    <x:row r="13" ht="38" customHeight="1">
      <x:c r="A13" s="25" t="str">
        <x:v>Conteo por cliente</x:v>
      </x:c>
      <x:c r="B13" s="26"/>
      <x:c r="C13" s="28" t="str">
        <x:v>Valide el resultado después de la transición.</x:v>
      </x:c>
      <x:c r="D13" s="29"/>
      <x:c r="E13" s="29"/>
      <x:c r="F13" s="30"/>
      <x:c r="G13" s="3"/>
      <x:c r="H13" s="25" t="str">
        <x:v>Conteo esperado</x:v>
      </x:c>
      <x:c r="I13" s="26"/>
      <x:c r="J13" s="53" t="n">
        <x:f>COUNTIFS('Datos muestra'!$C$2:$C$21,"CL000384")</x:f>
        <x:v>1</x:v>
      </x:c>
      <x:c r="K13" s="54"/>
      <x:c r="L13" s="54"/>
      <x:c r="M13" s="55"/>
    </x:row>
    <x:row r="14" ht="86" customHeight="1">
      <x:c r="A14" s="25" t="str">
        <x:v>Medida en iterador</x:v>
      </x:c>
      <x:c r="B14" s="26"/>
      <x:c r="C14" s="37" t="str">
        <x:v>Calcule el promedio de volumen por cliente visible.</x:v>
      </x:c>
      <x:c r="D14" s="38"/>
      <x:c r="E14" s="38"/>
      <x:c r="F14" s="39"/>
      <x:c r="G14" s="3"/>
      <x:c r="H14" s="25" t="str">
        <x:v>Código DAX</x:v>
      </x:c>
      <x:c r="I14" s="26"/>
      <x:c r="J14" s="42" t="str">
        <x:v>Promedio por cliente =
AVERAGEX (
    VALUES ( dim_cliente[cliente_id] ),
    [Volumen transaccional]
)</x:v>
      </x:c>
      <x:c r="K14" s="43"/>
      <x:c r="L14" s="43"/>
      <x:c r="M14" s="44"/>
    </x:row>
    <x:row r="15" ht="52" customHeight="1">
      <x:c r="A15" s="25" t="str">
        <x:v>Explicación</x:v>
      </x:c>
      <x:c r="B15" s="26"/>
      <x:c r="C15" s="28" t="str">
        <x:v>Enumere fila actual, transición, relación y evaluación.</x:v>
      </x:c>
      <x:c r="D15" s="29"/>
      <x:c r="E15" s="29"/>
      <x:c r="F15" s="30"/>
      <x:c r="G15" s="3"/>
      <x:c r="H15" s="25" t="str">
        <x:v>Explicación</x:v>
      </x:c>
      <x:c r="I15" s="26"/>
      <x:c r="J15" s="32" t="str">
        <x:v>AVERAGEX crea una fila por cliente. La medida activa CALCULATE implícito, convierte ese cliente en filtro y calcula su volumen.</x:v>
      </x:c>
      <x:c r="K15" s="33"/>
      <x:c r="L15" s="33"/>
      <x:c r="M15" s="34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46" customHeight="1">
      <x:c r="A17" s="57" t="str">
        <x:v>Resultado esperado</x:v>
      </x:c>
      <x:c r="B17" s="58"/>
      <x:c r="C17" s="25" t="str">
        <x:v>Una demostración del total repetido y otra del resultado por cliente.</x:v>
      </x:c>
      <x:c r="D17" s="17"/>
      <x:c r="E17" s="17"/>
      <x:c r="F17" s="26"/>
      <x:c r="G17" s="3"/>
      <x:c r="H17" s="57" t="str">
        <x:v>Resultado del ejemplo</x:v>
      </x:c>
      <x:c r="I17" s="58"/>
      <x:c r="J17" s="25" t="str">
        <x:v>CALCULATE conecta el contexto de fila con el contexto de filtro mediante la transición.</x:v>
      </x:c>
      <x:c r="K17" s="17"/>
      <x:c r="L17" s="17"/>
      <x:c r="M17" s="26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</x:row>
    <x:row r="20">
      <x:c r="A20" s="115" t="str">
        <x:v>Explique siempre el contexto inicial, la modificación aplicada y la granularidad del resultado.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4:M4"/>
    <x:mergeCell ref="A6:F6"/>
    <x:mergeCell ref="H6:M6"/>
    <x:mergeCell ref="A7:B7"/>
    <x:mergeCell ref="C7:F7"/>
    <x:mergeCell ref="H7:I7"/>
    <x:mergeCell ref="J7:M7"/>
    <x:mergeCell ref="A8:B8"/>
    <x:mergeCell ref="C8:F8"/>
    <x:mergeCell ref="H8:I8"/>
    <x:mergeCell ref="J8:M8"/>
    <x:mergeCell ref="A9:B9"/>
    <x:mergeCell ref="C9:F9"/>
    <x:mergeCell ref="H9:I9"/>
    <x:mergeCell ref="J9:M9"/>
    <x:mergeCell ref="A10:B10"/>
    <x:mergeCell ref="C10:F10"/>
    <x:mergeCell ref="H10:I10"/>
    <x:mergeCell ref="J10:M10"/>
    <x:mergeCell ref="A11:B11"/>
    <x:mergeCell ref="C11:F11"/>
    <x:mergeCell ref="H11:I11"/>
    <x:mergeCell ref="J11:M11"/>
    <x:mergeCell ref="A12:B12"/>
    <x:mergeCell ref="C12:F12"/>
    <x:mergeCell ref="H12:I12"/>
    <x:mergeCell ref="J12:M12"/>
    <x:mergeCell ref="A13:B13"/>
    <x:mergeCell ref="C13:F13"/>
    <x:mergeCell ref="H13:I13"/>
    <x:mergeCell ref="J13:M13"/>
    <x:mergeCell ref="A14:B14"/>
    <x:mergeCell ref="C14:F14"/>
    <x:mergeCell ref="H14:I14"/>
    <x:mergeCell ref="J14:M14"/>
    <x:mergeCell ref="A15:B15"/>
    <x:mergeCell ref="C15:F15"/>
    <x:mergeCell ref="H15:I15"/>
    <x:mergeCell ref="J15:M15"/>
    <x:mergeCell ref="A17:B17"/>
    <x:mergeCell ref="C17:F17"/>
    <x:mergeCell ref="H17:I17"/>
    <x:mergeCell ref="J17:M17"/>
    <x:mergeCell ref="A20:M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8" max="8" width="25" hidden="0" customWidth="1"/>
    <x:col min="2" max="2" width="22" hidden="0" customWidth="1"/>
    <x:col min="3" max="3" width="22" hidden="0" customWidth="1"/>
    <x:col min="9" max="9" width="22" hidden="0" customWidth="1"/>
    <x:col min="4" max="4" width="18" hidden="0" customWidth="1"/>
    <x:col min="5" max="5" width="18" hidden="0" customWidth="1"/>
    <x:col min="6" max="6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7" max="7" width="3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5" t="str">
        <x:v>Ficha 3. CALCULATE como motor analítico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4" customHeight="1">
      <x:c r="A4" s="6" t="str">
        <x:v>Construya un KPI por capas y compare reemplazo de filtros con intersección.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6" customHeight="1">
      <x:c r="A6" s="9" t="str">
        <x:v>EJERCICIO PARA COMPLETAR</x:v>
      </x:c>
      <x:c r="B6" s="9"/>
      <x:c r="C6" s="9"/>
      <x:c r="D6" s="9"/>
      <x:c r="E6" s="9"/>
      <x:c r="F6" s="9"/>
      <x:c r="G6" s="3"/>
      <x:c r="H6" s="9" t="str">
        <x:v>EJEMPLO RESUELTO</x:v>
      </x:c>
      <x:c r="I6" s="9"/>
      <x:c r="J6" s="9"/>
      <x:c r="K6" s="9"/>
      <x:c r="L6" s="9"/>
      <x:c r="M6" s="9"/>
    </x:row>
    <x:row r="7" ht="58" customHeight="1">
      <x:c r="A7" s="25" t="str">
        <x:v>Medida base</x:v>
      </x:c>
      <x:c r="B7" s="26"/>
      <x:c r="C7" s="37" t="str">
        <x:v>Cuente todas las transacciones intentadas.</x:v>
      </x:c>
      <x:c r="D7" s="38"/>
      <x:c r="E7" s="38"/>
      <x:c r="F7" s="39"/>
      <x:c r="G7" s="3"/>
      <x:c r="H7" s="25" t="str">
        <x:v>Código DAX</x:v>
      </x:c>
      <x:c r="I7" s="26"/>
      <x:c r="J7" s="42" t="str">
        <x:v>Transacciones intentadas =
COUNTROWS ( fact_transaccion )</x:v>
      </x:c>
      <x:c r="K7" s="43"/>
      <x:c r="L7" s="43"/>
      <x:c r="M7" s="44"/>
    </x:row>
    <x:row r="8" ht="38" customHeight="1">
      <x:c r="A8" s="25" t="str">
        <x:v>Resultado base</x:v>
      </x:c>
      <x:c r="B8" s="26"/>
      <x:c r="C8" s="28" t="str">
        <x:v>Valide el total de la muestra.</x:v>
      </x:c>
      <x:c r="D8" s="29"/>
      <x:c r="E8" s="29"/>
      <x:c r="F8" s="30"/>
      <x:c r="G8" s="3"/>
      <x:c r="H8" s="25" t="str">
        <x:v>Intentadas</x:v>
      </x:c>
      <x:c r="I8" s="26"/>
      <x:c r="J8" s="53" t="n">
        <x:f>COUNTA('Datos muestra'!$A$2:$A$21)</x:f>
        <x:v>20</x:v>
      </x:c>
      <x:c r="K8" s="54"/>
      <x:c r="L8" s="54"/>
      <x:c r="M8" s="55"/>
    </x:row>
    <x:row r="9" ht="86" customHeight="1">
      <x:c r="A9" s="25" t="str">
        <x:v>Medida filtrada</x:v>
      </x:c>
      <x:c r="B9" s="26"/>
      <x:c r="C9" s="37" t="str">
        <x:v>Use CALCULATE para contar estado Rechazada.</x:v>
      </x:c>
      <x:c r="D9" s="38"/>
      <x:c r="E9" s="38"/>
      <x:c r="F9" s="39"/>
      <x:c r="G9" s="3"/>
      <x:c r="H9" s="25" t="str">
        <x:v>Código DAX</x:v>
      </x:c>
      <x:c r="I9" s="26"/>
      <x:c r="J9" s="42" t="str">
        <x:v>Transacciones rechazadas =
CALCULATE (
    [Transacciones intentadas],
    fact_transaccion[estado] = "Rechazada"
)</x:v>
      </x:c>
      <x:c r="K9" s="43"/>
      <x:c r="L9" s="43"/>
      <x:c r="M9" s="44"/>
    </x:row>
    <x:row r="10" ht="38" customHeight="1">
      <x:c r="A10" s="25" t="str">
        <x:v>Resultado filtrado</x:v>
      </x:c>
      <x:c r="B10" s="26"/>
      <x:c r="C10" s="28" t="str">
        <x:v>Valide cuántas transacciones fueron rechazadas.</x:v>
      </x:c>
      <x:c r="D10" s="29"/>
      <x:c r="E10" s="29"/>
      <x:c r="F10" s="30"/>
      <x:c r="G10" s="3"/>
      <x:c r="H10" s="25" t="str">
        <x:v>Rechazadas</x:v>
      </x:c>
      <x:c r="I10" s="26"/>
      <x:c r="J10" s="53" t="n">
        <x:f>COUNTIFS('Datos muestra'!$I$2:$I$21,"Rechazada")</x:f>
        <x:v>6</x:v>
      </x:c>
      <x:c r="K10" s="54"/>
      <x:c r="L10" s="54"/>
      <x:c r="M10" s="55"/>
    </x:row>
    <x:row r="11" ht="80" customHeight="1">
      <x:c r="A11" s="25" t="str">
        <x:v>KPI final</x:v>
      </x:c>
      <x:c r="B11" s="26"/>
      <x:c r="C11" s="37" t="str">
        <x:v>Divida rechazadas entre intentadas usando DIVIDE.</x:v>
      </x:c>
      <x:c r="D11" s="38"/>
      <x:c r="E11" s="38"/>
      <x:c r="F11" s="39"/>
      <x:c r="G11" s="3"/>
      <x:c r="H11" s="25" t="str">
        <x:v>Código DAX</x:v>
      </x:c>
      <x:c r="I11" s="26"/>
      <x:c r="J11" s="42" t="str">
        <x:v>Tasa de rechazo =
DIVIDE (
    [Transacciones rechazadas],
    [Transacciones intentadas]
)</x:v>
      </x:c>
      <x:c r="K11" s="43"/>
      <x:c r="L11" s="43"/>
      <x:c r="M11" s="44"/>
    </x:row>
    <x:row r="12" ht="38" customHeight="1">
      <x:c r="A12" s="25" t="str">
        <x:v>Tasa esperada</x:v>
      </x:c>
      <x:c r="B12" s="26"/>
      <x:c r="C12" s="28" t="str">
        <x:v>Valide el porcentaje de la muestra.</x:v>
      </x:c>
      <x:c r="D12" s="29"/>
      <x:c r="E12" s="29"/>
      <x:c r="F12" s="30"/>
      <x:c r="G12" s="3"/>
      <x:c r="H12" s="25" t="str">
        <x:v>Tasa de rechazo</x:v>
      </x:c>
      <x:c r="I12" s="26"/>
      <x:c r="J12" s="59" t="n">
        <x:f>COUNTIFS('Datos muestra'!$I$2:$I$21,"Rechazada")/COUNTA('Datos muestra'!$A$2:$A$21)</x:f>
        <x:v>0.3</x:v>
      </x:c>
      <x:c r="K12" s="60"/>
      <x:c r="L12" s="60"/>
      <x:c r="M12" s="61"/>
    </x:row>
    <x:row r="13" ht="38" customHeight="1">
      <x:c r="A13" s="25" t="str">
        <x:v>Filtro normal</x:v>
      </x:c>
      <x:c r="B13" s="26"/>
      <x:c r="C13" s="28" t="str">
        <x:v>Explique qué ocurre si CALCULATE fija digital = 1.</x:v>
      </x:c>
      <x:c r="D13" s="29"/>
      <x:c r="E13" s="29"/>
      <x:c r="F13" s="30"/>
      <x:c r="G13" s="3"/>
      <x:c r="H13" s="25" t="str">
        <x:v>Comportamiento</x:v>
      </x:c>
      <x:c r="I13" s="26"/>
      <x:c r="J13" s="32" t="str">
        <x:v>Reemplaza un filtro previo sobre la misma columna digital.</x:v>
      </x:c>
      <x:c r="K13" s="33"/>
      <x:c r="L13" s="33"/>
      <x:c r="M13" s="34"/>
    </x:row>
    <x:row r="14" ht="38" customHeight="1">
      <x:c r="A14" s="25" t="str">
        <x:v>KEEPFILTERS</x:v>
      </x:c>
      <x:c r="B14" s="26"/>
      <x:c r="C14" s="28" t="str">
        <x:v>Explique el resultado si el usuario eligió digital = 0.</x:v>
      </x:c>
      <x:c r="D14" s="29"/>
      <x:c r="E14" s="29"/>
      <x:c r="F14" s="30"/>
      <x:c r="G14" s="3"/>
      <x:c r="H14" s="25" t="str">
        <x:v>Comportamiento</x:v>
      </x:c>
      <x:c r="I14" s="26"/>
      <x:c r="J14" s="32" t="str">
        <x:v>Intersecta digital = 0 con digital = 1; el conjunto queda vacío.</x:v>
      </x:c>
      <x:c r="K14" s="33"/>
      <x:c r="L14" s="33"/>
      <x:c r="M14" s="34"/>
    </x:row>
    <x:row r="15" ht="52" customHeight="1">
      <x:c r="A15" s="25" t="str">
        <x:v>Intención de negocio</x:v>
      </x:c>
      <x:c r="B15" s="26"/>
      <x:c r="C15" s="28" t="str">
        <x:v>¿El KPI debe forzar digital o respetar la selección?</x:v>
      </x:c>
      <x:c r="D15" s="29"/>
      <x:c r="E15" s="29"/>
      <x:c r="F15" s="30"/>
      <x:c r="G15" s="3"/>
      <x:c r="H15" s="25" t="str">
        <x:v>Decisión del ejemplo</x:v>
      </x:c>
      <x:c r="I15" s="26"/>
      <x:c r="J15" s="32" t="str">
        <x:v>Use filtro normal para un KPI digital fijo; use KEEPFILTERS para actividad digital dentro de lo seleccionado.</x:v>
      </x:c>
      <x:c r="K15" s="33"/>
      <x:c r="L15" s="33"/>
      <x:c r="M15" s="34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46" customHeight="1">
      <x:c r="A17" s="57" t="str">
        <x:v>Resultado esperado</x:v>
      </x:c>
      <x:c r="B17" s="58"/>
      <x:c r="C17" s="25" t="str">
        <x:v>Una tasa construida con medidas reutilizables y una decisión documentada sobre filtros.</x:v>
      </x:c>
      <x:c r="D17" s="17"/>
      <x:c r="E17" s="17"/>
      <x:c r="F17" s="26"/>
      <x:c r="G17" s="3"/>
      <x:c r="H17" s="57" t="str">
        <x:v>Resultado del ejemplo</x:v>
      </x:c>
      <x:c r="I17" s="58"/>
      <x:c r="J17" s="25" t="str">
        <x:v>La tasa se evalúa en cualquier contexto del informe sin duplicar la lógica base.</x:v>
      </x:c>
      <x:c r="K17" s="17"/>
      <x:c r="L17" s="17"/>
      <x:c r="M17" s="26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</x:row>
    <x:row r="20">
      <x:c r="A20" s="115" t="str">
        <x:v>Explique siempre el contexto inicial, la modificación aplicada y la granularidad del resultado.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4:M4"/>
    <x:mergeCell ref="A6:F6"/>
    <x:mergeCell ref="H6:M6"/>
    <x:mergeCell ref="A7:B7"/>
    <x:mergeCell ref="C7:F7"/>
    <x:mergeCell ref="H7:I7"/>
    <x:mergeCell ref="J7:M7"/>
    <x:mergeCell ref="A8:B8"/>
    <x:mergeCell ref="C8:F8"/>
    <x:mergeCell ref="H8:I8"/>
    <x:mergeCell ref="J8:M8"/>
    <x:mergeCell ref="A9:B9"/>
    <x:mergeCell ref="C9:F9"/>
    <x:mergeCell ref="H9:I9"/>
    <x:mergeCell ref="J9:M9"/>
    <x:mergeCell ref="A10:B10"/>
    <x:mergeCell ref="C10:F10"/>
    <x:mergeCell ref="H10:I10"/>
    <x:mergeCell ref="J10:M10"/>
    <x:mergeCell ref="A11:B11"/>
    <x:mergeCell ref="C11:F11"/>
    <x:mergeCell ref="H11:I11"/>
    <x:mergeCell ref="J11:M11"/>
    <x:mergeCell ref="A12:B12"/>
    <x:mergeCell ref="C12:F12"/>
    <x:mergeCell ref="H12:I12"/>
    <x:mergeCell ref="J12:M12"/>
    <x:mergeCell ref="A13:B13"/>
    <x:mergeCell ref="C13:F13"/>
    <x:mergeCell ref="H13:I13"/>
    <x:mergeCell ref="J13:M13"/>
    <x:mergeCell ref="A14:B14"/>
    <x:mergeCell ref="C14:F14"/>
    <x:mergeCell ref="H14:I14"/>
    <x:mergeCell ref="J14:M14"/>
    <x:mergeCell ref="A15:B15"/>
    <x:mergeCell ref="C15:F15"/>
    <x:mergeCell ref="H15:I15"/>
    <x:mergeCell ref="J15:M15"/>
    <x:mergeCell ref="A17:B17"/>
    <x:mergeCell ref="C17:F17"/>
    <x:mergeCell ref="H17:I17"/>
    <x:mergeCell ref="J17:M17"/>
    <x:mergeCell ref="A20:M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80F1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8" max="8" width="25" hidden="0" customWidth="1"/>
    <x:col min="2" max="2" width="22" hidden="0" customWidth="1"/>
    <x:col min="3" max="3" width="22" hidden="0" customWidth="1"/>
    <x:col min="9" max="9" width="22" hidden="0" customWidth="1"/>
    <x:col min="4" max="4" width="18" hidden="0" customWidth="1"/>
    <x:col min="5" max="5" width="18" hidden="0" customWidth="1"/>
    <x:col min="6" max="6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7" max="7" width="3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5" t="str">
        <x:v>Ficha 4. FILTER y condiciones por fila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4" customHeight="1">
      <x:c r="A4" s="6" t="str">
        <x:v>Aplique un umbral al valor absoluto del monto y distinga tabla filtrada de resultado agregado.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6" customHeight="1">
      <x:c r="A6" s="9" t="str">
        <x:v>EJERCICIO PARA COMPLETAR</x:v>
      </x:c>
      <x:c r="B6" s="9"/>
      <x:c r="C6" s="9"/>
      <x:c r="D6" s="9"/>
      <x:c r="E6" s="9"/>
      <x:c r="F6" s="9"/>
      <x:c r="G6" s="3"/>
      <x:c r="H6" s="9" t="str">
        <x:v>EJEMPLO RESUELTO</x:v>
      </x:c>
      <x:c r="I6" s="9"/>
      <x:c r="J6" s="9"/>
      <x:c r="K6" s="9"/>
      <x:c r="L6" s="9"/>
      <x:c r="M6" s="9"/>
    </x:row>
    <x:row r="7" ht="38" customHeight="1">
      <x:c r="A7" s="25" t="str">
        <x:v>Umbral</x:v>
      </x:c>
      <x:c r="B7" s="26"/>
      <x:c r="C7" s="28" t="str">
        <x:v>Defina el importe mínimo de una operación alta.</x:v>
      </x:c>
      <x:c r="D7" s="29"/>
      <x:c r="E7" s="29"/>
      <x:c r="F7" s="30"/>
      <x:c r="G7" s="3"/>
      <x:c r="H7" s="25" t="str">
        <x:v>Umbral del ejemplo</x:v>
      </x:c>
      <x:c r="I7" s="26"/>
      <x:c r="J7" s="62" t="n">
        <x:v>1000</x:v>
      </x:c>
      <x:c r="K7" s="63"/>
      <x:c r="L7" s="63"/>
      <x:c r="M7" s="64"/>
    </x:row>
    <x:row r="8" ht="38" customHeight="1">
      <x:c r="A8" s="25" t="str">
        <x:v>Tabla de entrada</x:v>
      </x:c>
      <x:c r="B8" s="26"/>
      <x:c r="C8" s="28" t="str">
        <x:v>Indique qué tabla debe recorrer FILTER.</x:v>
      </x:c>
      <x:c r="D8" s="29"/>
      <x:c r="E8" s="29"/>
      <x:c r="F8" s="30"/>
      <x:c r="G8" s="3"/>
      <x:c r="H8" s="25" t="str">
        <x:v>Tabla de entrada</x:v>
      </x:c>
      <x:c r="I8" s="26"/>
      <x:c r="J8" s="32" t="str">
        <x:v>fact_transaccion</x:v>
      </x:c>
      <x:c r="K8" s="33"/>
      <x:c r="L8" s="33"/>
      <x:c r="M8" s="34"/>
    </x:row>
    <x:row r="9" ht="52" customHeight="1">
      <x:c r="A9" s="25" t="str">
        <x:v>Condición por fila</x:v>
      </x:c>
      <x:c r="B9" s="26"/>
      <x:c r="C9" s="37" t="str">
        <x:v>Escriba la condición con ABS sobre monto_usd.</x:v>
      </x:c>
      <x:c r="D9" s="38"/>
      <x:c r="E9" s="38"/>
      <x:c r="F9" s="39"/>
      <x:c r="G9" s="3"/>
      <x:c r="H9" s="25" t="str">
        <x:v>Condición</x:v>
      </x:c>
      <x:c r="I9" s="26"/>
      <x:c r="J9" s="42" t="str">
        <x:v>ABS ( fact_transaccion[monto_usd] ) &gt;= 1000</x:v>
      </x:c>
      <x:c r="K9" s="43"/>
      <x:c r="L9" s="43"/>
      <x:c r="M9" s="44"/>
    </x:row>
    <x:row r="10" ht="124" customHeight="1">
      <x:c r="A10" s="25" t="str">
        <x:v>Medida de volumen</x:v>
      </x:c>
      <x:c r="B10" s="26"/>
      <x:c r="C10" s="37" t="str">
        <x:v>Use FILTER dentro de CALCULATE.</x:v>
      </x:c>
      <x:c r="D10" s="38"/>
      <x:c r="E10" s="38"/>
      <x:c r="F10" s="39"/>
      <x:c r="G10" s="3"/>
      <x:c r="H10" s="25" t="str">
        <x:v>Código DAX</x:v>
      </x:c>
      <x:c r="I10" s="26"/>
      <x:c r="J10" s="42" t="str">
        <x:v>Volumen operaciones altas =
CALCULATE (
    [Volumen transaccional],
    FILTER (
        fact_transaccion,
        ABS ( fact_transaccion[monto_usd] ) &gt;= 1000
    )
)</x:v>
      </x:c>
      <x:c r="K10" s="43"/>
      <x:c r="L10" s="43"/>
      <x:c r="M10" s="44"/>
    </x:row>
    <x:row r="11" ht="38" customHeight="1">
      <x:c r="A11" s="25" t="str">
        <x:v>Conteo esperado</x:v>
      </x:c>
      <x:c r="B11" s="26"/>
      <x:c r="C11" s="28" t="str">
        <x:v>Cuente las filas de la muestra que superan el umbral.</x:v>
      </x:c>
      <x:c r="D11" s="29"/>
      <x:c r="E11" s="29"/>
      <x:c r="F11" s="30"/>
      <x:c r="G11" s="3"/>
      <x:c r="H11" s="25" t="str">
        <x:v>Operaciones altas</x:v>
      </x:c>
      <x:c r="I11" s="26"/>
      <x:c r="J11" s="53" t="n">
        <x:f>COUNTIFS('Datos muestra'!$K$2:$K$21,"&gt;=1000")</x:f>
        <x:v>11</x:v>
      </x:c>
      <x:c r="K11" s="54"/>
      <x:c r="L11" s="54"/>
      <x:c r="M11" s="55"/>
    </x:row>
    <x:row r="12" ht="38" customHeight="1">
      <x:c r="A12" s="25" t="str">
        <x:v>Volumen esperado</x:v>
      </x:c>
      <x:c r="B12" s="26"/>
      <x:c r="C12" s="28" t="str">
        <x:v>Sume el monto absoluto de esas filas.</x:v>
      </x:c>
      <x:c r="D12" s="29"/>
      <x:c r="E12" s="29"/>
      <x:c r="F12" s="30"/>
      <x:c r="G12" s="3"/>
      <x:c r="H12" s="25" t="str">
        <x:v>Volumen alto</x:v>
      </x:c>
      <x:c r="I12" s="26"/>
      <x:c r="J12" s="50" t="n">
        <x:f>SUMIFS('Datos muestra'!$K$2:$K$21,'Datos muestra'!$K$2:$K$21,"&gt;=1000")</x:f>
        <x:v>47234.600000000006</x:v>
      </x:c>
      <x:c r="K12" s="51"/>
      <x:c r="L12" s="51"/>
      <x:c r="M12" s="52"/>
    </x:row>
    <x:row r="13" ht="50" customHeight="1">
      <x:c r="A13" s="25" t="str">
        <x:v>Filtro booleano</x:v>
      </x:c>
      <x:c r="B13" s="26"/>
      <x:c r="C13" s="37" t="str">
        <x:v>Proponga un caso que no necesita FILTER.</x:v>
      </x:c>
      <x:c r="D13" s="38"/>
      <x:c r="E13" s="38"/>
      <x:c r="F13" s="39"/>
      <x:c r="G13" s="3"/>
      <x:c r="H13" s="25" t="str">
        <x:v>Ejemplo</x:v>
      </x:c>
      <x:c r="I13" s="26"/>
      <x:c r="J13" s="42" t="str">
        <x:v>fact_transaccion[estado] = "Rechazada"</x:v>
      </x:c>
      <x:c r="K13" s="43"/>
      <x:c r="L13" s="43"/>
      <x:c r="M13" s="44"/>
    </x:row>
    <x:row r="14" ht="50" customHeight="1">
      <x:c r="A14" s="25" t="str">
        <x:v>Justificación</x:v>
      </x:c>
      <x:c r="B14" s="26"/>
      <x:c r="C14" s="28" t="str">
        <x:v>Explique por qué ABS requiere recorrido por fila.</x:v>
      </x:c>
      <x:c r="D14" s="29"/>
      <x:c r="E14" s="29"/>
      <x:c r="F14" s="30"/>
      <x:c r="G14" s="3"/>
      <x:c r="H14" s="25" t="str">
        <x:v>Justificación</x:v>
      </x:c>
      <x:c r="I14" s="26"/>
      <x:c r="J14" s="32" t="str">
        <x:v>La condición transforma el monto de cada fila antes de compararlo con el umbral.</x:v>
      </x:c>
      <x:c r="K14" s="33"/>
      <x:c r="L14" s="33"/>
      <x:c r="M14" s="34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46" customHeight="1">
      <x:c r="A16" s="57" t="str">
        <x:v>Resultado esperado</x:v>
      </x:c>
      <x:c r="B16" s="58"/>
      <x:c r="C16" s="25" t="str">
        <x:v>Una medida de alto importe y evidencia de que FILTER devuelve una tabla intermedia.</x:v>
      </x:c>
      <x:c r="D16" s="17"/>
      <x:c r="E16" s="17"/>
      <x:c r="F16" s="26"/>
      <x:c r="G16" s="3"/>
      <x:c r="H16" s="57" t="str">
        <x:v>Resultado del ejemplo</x:v>
      </x:c>
      <x:c r="I16" s="58"/>
      <x:c r="J16" s="25" t="str">
        <x:v>FILTER selecciona filas; CALCULATE aplica esa selección; la medida base produce el valor.</x:v>
      </x:c>
      <x:c r="K16" s="17"/>
      <x:c r="L16" s="17"/>
      <x:c r="M16" s="26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</x:row>
    <x:row r="20">
      <x:c r="A20" s="115" t="str">
        <x:v>Explique siempre el contexto inicial, la modificación aplicada y la granularidad del resultado.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4:M4"/>
    <x:mergeCell ref="A6:F6"/>
    <x:mergeCell ref="H6:M6"/>
    <x:mergeCell ref="A7:B7"/>
    <x:mergeCell ref="C7:F7"/>
    <x:mergeCell ref="H7:I7"/>
    <x:mergeCell ref="J7:M7"/>
    <x:mergeCell ref="A8:B8"/>
    <x:mergeCell ref="C8:F8"/>
    <x:mergeCell ref="H8:I8"/>
    <x:mergeCell ref="J8:M8"/>
    <x:mergeCell ref="A9:B9"/>
    <x:mergeCell ref="C9:F9"/>
    <x:mergeCell ref="H9:I9"/>
    <x:mergeCell ref="J9:M9"/>
    <x:mergeCell ref="A10:B10"/>
    <x:mergeCell ref="C10:F10"/>
    <x:mergeCell ref="H10:I10"/>
    <x:mergeCell ref="J10:M10"/>
    <x:mergeCell ref="A11:B11"/>
    <x:mergeCell ref="C11:F11"/>
    <x:mergeCell ref="H11:I11"/>
    <x:mergeCell ref="J11:M11"/>
    <x:mergeCell ref="A12:B12"/>
    <x:mergeCell ref="C12:F12"/>
    <x:mergeCell ref="H12:I12"/>
    <x:mergeCell ref="J12:M12"/>
    <x:mergeCell ref="A13:B13"/>
    <x:mergeCell ref="C13:F13"/>
    <x:mergeCell ref="H13:I13"/>
    <x:mergeCell ref="J13:M13"/>
    <x:mergeCell ref="A14:B14"/>
    <x:mergeCell ref="C14:F14"/>
    <x:mergeCell ref="H14:I14"/>
    <x:mergeCell ref="J14:M14"/>
    <x:mergeCell ref="A16:B16"/>
    <x:mergeCell ref="C16:F16"/>
    <x:mergeCell ref="H16:I16"/>
    <x:mergeCell ref="J16:M16"/>
    <x:mergeCell ref="A20:M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8" max="8" width="25" hidden="0" customWidth="1"/>
    <x:col min="2" max="2" width="22" hidden="0" customWidth="1"/>
    <x:col min="3" max="3" width="22" hidden="0" customWidth="1"/>
    <x:col min="9" max="9" width="22" hidden="0" customWidth="1"/>
    <x:col min="4" max="4" width="18" hidden="0" customWidth="1"/>
    <x:col min="5" max="5" width="18" hidden="0" customWidth="1"/>
    <x:col min="6" max="6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7" max="7" width="3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5" t="str">
        <x:v>Ficha 5. ALL, ALLEXCEPT y ALLSELECTED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4" customHeight="1">
      <x:c r="A4" s="6" t="str">
        <x:v>Diseñe el denominador antes de calcular una participación.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6" customHeight="1">
      <x:c r="A6" s="9" t="str">
        <x:v>EJERCICIO PARA COMPLETAR</x:v>
      </x:c>
      <x:c r="B6" s="9"/>
      <x:c r="C6" s="9"/>
      <x:c r="D6" s="9"/>
      <x:c r="E6" s="9"/>
      <x:c r="F6" s="9"/>
      <x:c r="G6" s="3"/>
      <x:c r="H6" s="9" t="str">
        <x:v>EJEMPLO RESUELTO</x:v>
      </x:c>
      <x:c r="I6" s="9"/>
      <x:c r="J6" s="9"/>
      <x:c r="K6" s="9"/>
      <x:c r="L6" s="9"/>
      <x:c r="M6" s="9"/>
    </x:row>
    <x:row r="7" ht="38" customHeight="1">
      <x:c r="A7" s="25" t="str">
        <x:v>Contexto común</x:v>
      </x:c>
      <x:c r="B7" s="26"/>
      <x:c r="C7" s="28" t="str">
        <x:v>Use año 2025 y país México.</x:v>
      </x:c>
      <x:c r="D7" s="29"/>
      <x:c r="E7" s="29"/>
      <x:c r="F7" s="30"/>
      <x:c r="G7" s="3"/>
      <x:c r="H7" s="25" t="str">
        <x:v>Contexto común</x:v>
      </x:c>
      <x:c r="I7" s="26"/>
      <x:c r="J7" s="32" t="str">
        <x:v>Año = 2025; país = México.</x:v>
      </x:c>
      <x:c r="K7" s="33"/>
      <x:c r="L7" s="33"/>
      <x:c r="M7" s="34"/>
    </x:row>
    <x:row r="8" ht="38" customHeight="1">
      <x:c r="A8" s="25" t="str">
        <x:v>Numerador</x:v>
      </x:c>
      <x:c r="B8" s="26"/>
      <x:c r="C8" s="28" t="str">
        <x:v>Calcule volumen de App móvil dentro del contexto.</x:v>
      </x:c>
      <x:c r="D8" s="29"/>
      <x:c r="E8" s="29"/>
      <x:c r="F8" s="30"/>
      <x:c r="G8" s="3"/>
      <x:c r="H8" s="25" t="str">
        <x:v>Volumen App móvil</x:v>
      </x:c>
      <x:c r="I8" s="26"/>
      <x:c r="J8" s="50" t="n">
        <x:f>SUMIFS('Datos muestra'!$K$2:$K$21,'Datos muestra'!$B$2:$B$21,2025,'Datos muestra'!$D$2:$D$21,"México",'Datos muestra'!$F$2:$F$21,"App móvil")</x:f>
        <x:v>677.38</x:v>
      </x:c>
      <x:c r="K8" s="51"/>
      <x:c r="L8" s="51"/>
      <x:c r="M8" s="52"/>
    </x:row>
    <x:row r="9" ht="38" customHeight="1">
      <x:c r="A9" s="25" t="str">
        <x:v>Denominador ALL</x:v>
      </x:c>
      <x:c r="B9" s="26"/>
      <x:c r="C9" s="28" t="str">
        <x:v>Retire sólo el filtro de canal; conserve año y país.</x:v>
      </x:c>
      <x:c r="D9" s="29"/>
      <x:c r="E9" s="29"/>
      <x:c r="F9" s="30"/>
      <x:c r="G9" s="3"/>
      <x:c r="H9" s="25" t="str">
        <x:v>Total de canales</x:v>
      </x:c>
      <x:c r="I9" s="26"/>
      <x:c r="J9" s="50" t="n">
        <x:f>SUMIFS('Datos muestra'!$K$2:$K$21,'Datos muestra'!$B$2:$B$21,2025,'Datos muestra'!$D$2:$D$21,"México")</x:f>
        <x:v>11880.33</x:v>
      </x:c>
      <x:c r="K9" s="51"/>
      <x:c r="L9" s="51"/>
      <x:c r="M9" s="52"/>
    </x:row>
    <x:row r="10" ht="112" customHeight="1">
      <x:c r="A10" s="25" t="str">
        <x:v>Medida con ALL</x:v>
      </x:c>
      <x:c r="B10" s="26"/>
      <x:c r="C10" s="37" t="str">
        <x:v>Escriba la participación frente a todos los canales.</x:v>
      </x:c>
      <x:c r="D10" s="38"/>
      <x:c r="E10" s="38"/>
      <x:c r="F10" s="39"/>
      <x:c r="G10" s="3"/>
      <x:c r="H10" s="25" t="str">
        <x:v>Código DAX</x:v>
      </x:c>
      <x:c r="I10" s="26"/>
      <x:c r="J10" s="42" t="str">
        <x:v>% volumen total canales =
DIVIDE (
    [Volumen transaccional],
    CALCULATE (
        [Volumen transaccional],
        ALL ( dim_canal[canal] )
    )
)</x:v>
      </x:c>
      <x:c r="K10" s="43"/>
      <x:c r="L10" s="43"/>
      <x:c r="M10" s="44"/>
    </x:row>
    <x:row r="11" ht="38" customHeight="1">
      <x:c r="A11" s="25" t="str">
        <x:v>Participación ALL</x:v>
      </x:c>
      <x:c r="B11" s="26"/>
      <x:c r="C11" s="28" t="str">
        <x:v>Valide la participación de App móvil.</x:v>
      </x:c>
      <x:c r="D11" s="29"/>
      <x:c r="E11" s="29"/>
      <x:c r="F11" s="30"/>
      <x:c r="G11" s="3"/>
      <x:c r="H11" s="25" t="str">
        <x:v>Resultado</x:v>
      </x:c>
      <x:c r="I11" s="26"/>
      <x:c r="J11" s="59" t="n">
        <x:f>J8/J9</x:f>
        <x:v>0.057016934714776445</x:v>
      </x:c>
      <x:c r="K11" s="60"/>
      <x:c r="L11" s="60"/>
      <x:c r="M11" s="61"/>
    </x:row>
    <x:row r="12" ht="38" customHeight="1">
      <x:c r="A12" s="25" t="str">
        <x:v>Selección visible</x:v>
      </x:c>
      <x:c r="B12" s="26"/>
      <x:c r="C12" s="28" t="str">
        <x:v>Suponga que el usuario eligió App móvil y Sucursal.</x:v>
      </x:c>
      <x:c r="D12" s="29"/>
      <x:c r="E12" s="29"/>
      <x:c r="F12" s="30"/>
      <x:c r="G12" s="3"/>
      <x:c r="H12" s="25" t="str">
        <x:v>Selección</x:v>
      </x:c>
      <x:c r="I12" s="26"/>
      <x:c r="J12" s="32" t="str">
        <x:v>App móvil y Sucursal.</x:v>
      </x:c>
      <x:c r="K12" s="33"/>
      <x:c r="L12" s="33"/>
      <x:c r="M12" s="34"/>
    </x:row>
    <x:row r="13" ht="38" customHeight="1">
      <x:c r="A13" s="25" t="str">
        <x:v>Denominador visible</x:v>
      </x:c>
      <x:c r="B13" s="26"/>
      <x:c r="C13" s="28" t="str">
        <x:v>Calcule el total de los dos canales seleccionados.</x:v>
      </x:c>
      <x:c r="D13" s="29"/>
      <x:c r="E13" s="29"/>
      <x:c r="F13" s="30"/>
      <x:c r="G13" s="3"/>
      <x:c r="H13" s="25" t="str">
        <x:v>Total visible</x:v>
      </x:c>
      <x:c r="I13" s="26"/>
      <x:c r="J13" s="50" t="n">
        <x:f>SUMIFS('Datos muestra'!$K$2:$K$21,'Datos muestra'!$B$2:$B$21,2025,'Datos muestra'!$D$2:$D$21,"México",'Datos muestra'!$F$2:$F$21,"App móvil")+SUMIFS('Datos muestra'!$K$2:$K$21,'Datos muestra'!$B$2:$B$21,2025,'Datos muestra'!$D$2:$D$21,"México",'Datos muestra'!$F$2:$F$21,"Sucursal")</x:f>
        <x:v>3214.35</x:v>
      </x:c>
      <x:c r="K13" s="51"/>
      <x:c r="L13" s="51"/>
      <x:c r="M13" s="52"/>
    </x:row>
    <x:row r="14" ht="38" customHeight="1">
      <x:c r="A14" s="25" t="str">
        <x:v>Participación visible</x:v>
      </x:c>
      <x:c r="B14" s="26"/>
      <x:c r="C14" s="28" t="str">
        <x:v>Use el denominador de ALLSELECTED.</x:v>
      </x:c>
      <x:c r="D14" s="29"/>
      <x:c r="E14" s="29"/>
      <x:c r="F14" s="30"/>
      <x:c r="G14" s="3"/>
      <x:c r="H14" s="25" t="str">
        <x:v>Resultado</x:v>
      </x:c>
      <x:c r="I14" s="26"/>
      <x:c r="J14" s="59" t="n">
        <x:f>J8/J13</x:f>
        <x:v>0.21073622971985007</x:v>
      </x:c>
      <x:c r="K14" s="60"/>
      <x:c r="L14" s="60"/>
      <x:c r="M14" s="61"/>
    </x:row>
    <x:row r="15" ht="50" customHeight="1">
      <x:c r="A15" s="25" t="str">
        <x:v>ALLEXCEPT</x:v>
      </x:c>
      <x:c r="B15" s="26"/>
      <x:c r="C15" s="28" t="str">
        <x:v>Explique qué conservaría ALLEXCEPT en dim_cliente.</x:v>
      </x:c>
      <x:c r="D15" s="29"/>
      <x:c r="E15" s="29"/>
      <x:c r="F15" s="30"/>
      <x:c r="G15" s="3"/>
      <x:c r="H15" s="25" t="str">
        <x:v>Ejemplo</x:v>
      </x:c>
      <x:c r="I15" s="26"/>
      <x:c r="J15" s="32" t="str">
        <x:v>Conservaría país_residencia y retiraría segmento, riesgo y otros filtros de dim_cliente.</x:v>
      </x:c>
      <x:c r="K15" s="33"/>
      <x:c r="L15" s="33"/>
      <x:c r="M15" s="34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46" customHeight="1">
      <x:c r="A17" s="57" t="str">
        <x:v>Resultado esperado</x:v>
      </x:c>
      <x:c r="B17" s="58"/>
      <x:c r="C17" s="25" t="str">
        <x:v>Tres denominadores descritos en lenguaje de negocio antes de codificarlos.</x:v>
      </x:c>
      <x:c r="D17" s="17"/>
      <x:c r="E17" s="17"/>
      <x:c r="F17" s="26"/>
      <x:c r="G17" s="3"/>
      <x:c r="H17" s="57" t="str">
        <x:v>Resultado del ejemplo</x:v>
      </x:c>
      <x:c r="I17" s="58"/>
      <x:c r="J17" s="25" t="str">
        <x:v>ALL compara con todos los canales; ALLSELECTED compara con los visibles; ALLEXCEPT conserva el grupo indicado.</x:v>
      </x:c>
      <x:c r="K17" s="17"/>
      <x:c r="L17" s="17"/>
      <x:c r="M17" s="26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</x:row>
    <x:row r="20">
      <x:c r="A20" s="115" t="str">
        <x:v>Explique siempre el contexto inicial, la modificación aplicada y la granularidad del resultado.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4:M4"/>
    <x:mergeCell ref="A6:F6"/>
    <x:mergeCell ref="H6:M6"/>
    <x:mergeCell ref="A7:B7"/>
    <x:mergeCell ref="C7:F7"/>
    <x:mergeCell ref="H7:I7"/>
    <x:mergeCell ref="J7:M7"/>
    <x:mergeCell ref="A8:B8"/>
    <x:mergeCell ref="C8:F8"/>
    <x:mergeCell ref="H8:I8"/>
    <x:mergeCell ref="J8:M8"/>
    <x:mergeCell ref="A9:B9"/>
    <x:mergeCell ref="C9:F9"/>
    <x:mergeCell ref="H9:I9"/>
    <x:mergeCell ref="J9:M9"/>
    <x:mergeCell ref="A10:B10"/>
    <x:mergeCell ref="C10:F10"/>
    <x:mergeCell ref="H10:I10"/>
    <x:mergeCell ref="J10:M10"/>
    <x:mergeCell ref="A11:B11"/>
    <x:mergeCell ref="C11:F11"/>
    <x:mergeCell ref="H11:I11"/>
    <x:mergeCell ref="J11:M11"/>
    <x:mergeCell ref="A12:B12"/>
    <x:mergeCell ref="C12:F12"/>
    <x:mergeCell ref="H12:I12"/>
    <x:mergeCell ref="J12:M12"/>
    <x:mergeCell ref="A13:B13"/>
    <x:mergeCell ref="C13:F13"/>
    <x:mergeCell ref="H13:I13"/>
    <x:mergeCell ref="J13:M13"/>
    <x:mergeCell ref="A14:B14"/>
    <x:mergeCell ref="C14:F14"/>
    <x:mergeCell ref="H14:I14"/>
    <x:mergeCell ref="J14:M14"/>
    <x:mergeCell ref="A15:B15"/>
    <x:mergeCell ref="C15:F15"/>
    <x:mergeCell ref="H15:I15"/>
    <x:mergeCell ref="J15:M15"/>
    <x:mergeCell ref="A17:B17"/>
    <x:mergeCell ref="C17:F17"/>
    <x:mergeCell ref="H17:I17"/>
    <x:mergeCell ref="J17:M17"/>
    <x:mergeCell ref="A20:M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80F1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8" max="8" width="25" hidden="0" customWidth="1"/>
    <x:col min="2" max="2" width="22" hidden="0" customWidth="1"/>
    <x:col min="3" max="3" width="22" hidden="0" customWidth="1"/>
    <x:col min="9" max="9" width="22" hidden="0" customWidth="1"/>
    <x:col min="4" max="4" width="18" hidden="0" customWidth="1"/>
    <x:col min="5" max="5" width="18" hidden="0" customWidth="1"/>
    <x:col min="6" max="6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7" max="7" width="3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5" t="str">
        <x:v>Ficha 6. VALUES, DISTINCT y manejo de filtros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4" customHeight="1">
      <x:c r="A4" s="6" t="str">
        <x:v>Construya listas de entidades visibles para contar, iterar y describir selecciones.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6" customHeight="1">
      <x:c r="A6" s="9" t="str">
        <x:v>EJERCICIO PARA COMPLETAR</x:v>
      </x:c>
      <x:c r="B6" s="9"/>
      <x:c r="C6" s="9"/>
      <x:c r="D6" s="9"/>
      <x:c r="E6" s="9"/>
      <x:c r="F6" s="9"/>
      <x:c r="G6" s="3"/>
      <x:c r="H6" s="9" t="str">
        <x:v>EJEMPLO RESUELTO</x:v>
      </x:c>
      <x:c r="I6" s="9"/>
      <x:c r="J6" s="9"/>
      <x:c r="K6" s="9"/>
      <x:c r="L6" s="9"/>
      <x:c r="M6" s="9"/>
    </x:row>
    <x:row r="7" ht="38" customHeight="1">
      <x:c r="A7" s="25" t="str">
        <x:v>Contexto de prueba</x:v>
      </x:c>
      <x:c r="B7" s="26"/>
      <x:c r="C7" s="28" t="str">
        <x:v>Use año 2025.</x:v>
      </x:c>
      <x:c r="D7" s="29"/>
      <x:c r="E7" s="29"/>
      <x:c r="F7" s="30"/>
      <x:c r="G7" s="3"/>
      <x:c r="H7" s="25" t="str">
        <x:v>Contexto de prueba</x:v>
      </x:c>
      <x:c r="I7" s="26"/>
      <x:c r="J7" s="32" t="str">
        <x:v>Año = 2025.</x:v>
      </x:c>
      <x:c r="K7" s="33"/>
      <x:c r="L7" s="33"/>
      <x:c r="M7" s="34"/>
    </x:row>
    <x:row r="8" ht="48" customHeight="1">
      <x:c r="A8" s="25" t="str">
        <x:v>Lista visible</x:v>
      </x:c>
      <x:c r="B8" s="26"/>
      <x:c r="C8" s="37" t="str">
        <x:v>Indique qué columna debe devolver VALUES.</x:v>
      </x:c>
      <x:c r="D8" s="38"/>
      <x:c r="E8" s="38"/>
      <x:c r="F8" s="39"/>
      <x:c r="G8" s="3"/>
      <x:c r="H8" s="25" t="str">
        <x:v>Lista DAX</x:v>
      </x:c>
      <x:c r="I8" s="26"/>
      <x:c r="J8" s="42" t="str">
        <x:v>VALUES ( dim_canal[canal_id] )</x:v>
      </x:c>
      <x:c r="K8" s="43"/>
      <x:c r="L8" s="43"/>
      <x:c r="M8" s="44"/>
    </x:row>
    <x:row r="9" ht="62" customHeight="1">
      <x:c r="A9" s="25" t="str">
        <x:v>Conteo visible</x:v>
      </x:c>
      <x:c r="B9" s="26"/>
      <x:c r="C9" s="37" t="str">
        <x:v>Escriba la medida Canales visibles.</x:v>
      </x:c>
      <x:c r="D9" s="38"/>
      <x:c r="E9" s="38"/>
      <x:c r="F9" s="39"/>
      <x:c r="G9" s="3"/>
      <x:c r="H9" s="25" t="str">
        <x:v>Código DAX</x:v>
      </x:c>
      <x:c r="I9" s="26"/>
      <x:c r="J9" s="42" t="str">
        <x:v>Canales visibles =
COUNTROWS ( VALUES ( dim_canal[canal_id] ) )</x:v>
      </x:c>
      <x:c r="K9" s="43"/>
      <x:c r="L9" s="43"/>
      <x:c r="M9" s="44"/>
    </x:row>
    <x:row r="10" ht="38" customHeight="1">
      <x:c r="A10" s="25" t="str">
        <x:v>Resultado esperado</x:v>
      </x:c>
      <x:c r="B10" s="26"/>
      <x:c r="C10" s="28" t="str">
        <x:v>Cuente canales con transacciones en 2025 dentro de la muestra.</x:v>
      </x:c>
      <x:c r="D10" s="29"/>
      <x:c r="E10" s="29"/>
      <x:c r="F10" s="30"/>
      <x:c r="G10" s="3"/>
      <x:c r="H10" s="25" t="str">
        <x:v>Canales visibles</x:v>
      </x:c>
      <x:c r="I10" s="26"/>
      <x:c r="J10" s="53" t="n">
        <x:f>COUNTIFS('Datos muestra'!$N$2:$N$7,"&gt;0")</x:f>
        <x:v>4</x:v>
      </x:c>
      <x:c r="K10" s="54"/>
      <x:c r="L10" s="54"/>
      <x:c r="M10" s="55"/>
    </x:row>
    <x:row r="11" ht="88" customHeight="1">
      <x:c r="A11" s="25" t="str">
        <x:v>Iteración</x:v>
      </x:c>
      <x:c r="B11" s="26"/>
      <x:c r="C11" s="37" t="str">
        <x:v>Escriba el promedio de volumen por canal visible.</x:v>
      </x:c>
      <x:c r="D11" s="38"/>
      <x:c r="E11" s="38"/>
      <x:c r="F11" s="39"/>
      <x:c r="G11" s="3"/>
      <x:c r="H11" s="25" t="str">
        <x:v>Código DAX</x:v>
      </x:c>
      <x:c r="I11" s="26"/>
      <x:c r="J11" s="42" t="str">
        <x:v>Promedio por canal =
AVERAGEX (
    VALUES ( dim_canal[canal_id] ),
    [Volumen transaccional]
)</x:v>
      </x:c>
      <x:c r="K11" s="43"/>
      <x:c r="L11" s="43"/>
      <x:c r="M11" s="44"/>
    </x:row>
    <x:row r="12" ht="38" customHeight="1">
      <x:c r="A12" s="25" t="str">
        <x:v>Promedio esperado</x:v>
      </x:c>
      <x:c r="B12" s="26"/>
      <x:c r="C12" s="28" t="str">
        <x:v>Promedie el volumen agregado de los canales con actividad.</x:v>
      </x:c>
      <x:c r="D12" s="29"/>
      <x:c r="E12" s="29"/>
      <x:c r="F12" s="30"/>
      <x:c r="G12" s="3"/>
      <x:c r="H12" s="25" t="str">
        <x:v>Promedio por canal</x:v>
      </x:c>
      <x:c r="I12" s="26"/>
      <x:c r="J12" s="50" t="n">
        <x:f>SUM('Datos muestra'!$O$2:$O$7)/COUNTIFS('Datos muestra'!$N$2:$N$7,"&gt;0")</x:f>
        <x:v>7004.485</x:v>
      </x:c>
      <x:c r="K12" s="51"/>
      <x:c r="L12" s="51"/>
      <x:c r="M12" s="52"/>
    </x:row>
    <x:row r="13" ht="105" customHeight="1">
      <x:c r="A13" s="25" t="str">
        <x:v>Texto de filtros</x:v>
      </x:c>
      <x:c r="B13" s="26"/>
      <x:c r="C13" s="37" t="str">
        <x:v>Construya una lista con CONCATENATEX.</x:v>
      </x:c>
      <x:c r="D13" s="38"/>
      <x:c r="E13" s="38"/>
      <x:c r="F13" s="39"/>
      <x:c r="G13" s="3"/>
      <x:c r="H13" s="25" t="str">
        <x:v>Código DAX</x:v>
      </x:c>
      <x:c r="I13" s="26"/>
      <x:c r="J13" s="42" t="str">
        <x:v>Lista de canales =
CONCATENATEX (
    VALUES ( dim_canal[canal] ),
    dim_canal[canal],
    ", ",
    dim_canal[canal], ASC
)</x:v>
      </x:c>
      <x:c r="K13" s="43"/>
      <x:c r="L13" s="43"/>
      <x:c r="M13" s="44"/>
    </x:row>
    <x:row r="14" ht="52" customHeight="1">
      <x:c r="A14" s="25" t="str">
        <x:v>VALUES frente a DISTINCT</x:v>
      </x:c>
      <x:c r="B14" s="26"/>
      <x:c r="C14" s="28" t="str">
        <x:v>Describa la diferencia ante una clave sin correspondencia.</x:v>
      </x:c>
      <x:c r="D14" s="29"/>
      <x:c r="E14" s="29"/>
      <x:c r="F14" s="30"/>
      <x:c r="G14" s="3"/>
      <x:c r="H14" s="25" t="str">
        <x:v>Diferencia</x:v>
      </x:c>
      <x:c r="I14" s="26"/>
      <x:c r="J14" s="32" t="str">
        <x:v>VALUES puede incluir el miembro desconocido en blanco; DISTINCT no agrega ese miembro especial.</x:v>
      </x:c>
      <x:c r="K14" s="33"/>
      <x:c r="L14" s="33"/>
      <x:c r="M14" s="34"/>
    </x:row>
    <x:row r="15" ht="50" customHeight="1">
      <x:c r="A15" s="25" t="str">
        <x:v>Granularidad</x:v>
      </x:c>
      <x:c r="B15" s="26"/>
      <x:c r="C15" s="28" t="str">
        <x:v>Explique qué está promediando AVERAGEX.</x:v>
      </x:c>
      <x:c r="D15" s="29"/>
      <x:c r="E15" s="29"/>
      <x:c r="F15" s="30"/>
      <x:c r="G15" s="3"/>
      <x:c r="H15" s="25" t="str">
        <x:v>Explicación</x:v>
      </x:c>
      <x:c r="I15" s="26"/>
      <x:c r="J15" s="32" t="str">
        <x:v>Promedia un resultado agregado por canal, no los montos de cada transacción.</x:v>
      </x:c>
      <x:c r="K15" s="33"/>
      <x:c r="L15" s="33"/>
      <x:c r="M15" s="34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46" customHeight="1">
      <x:c r="A17" s="57" t="str">
        <x:v>Resultado esperado</x:v>
      </x:c>
      <x:c r="B17" s="58"/>
      <x:c r="C17" s="25" t="str">
        <x:v>Un conteo, un promedio por entidad y un texto que describa la selección.</x:v>
      </x:c>
      <x:c r="D17" s="17"/>
      <x:c r="E17" s="17"/>
      <x:c r="F17" s="26"/>
      <x:c r="G17" s="3"/>
      <x:c r="H17" s="57" t="str">
        <x:v>Resultado del ejemplo</x:v>
      </x:c>
      <x:c r="I17" s="58"/>
      <x:c r="J17" s="25" t="str">
        <x:v>VALUES aporta la lista visible que el iterador necesita y ayuda a detectar problemas referenciales.</x:v>
      </x:c>
      <x:c r="K17" s="17"/>
      <x:c r="L17" s="17"/>
      <x:c r="M17" s="26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</x:row>
    <x:row r="20">
      <x:c r="A20" s="115" t="str">
        <x:v>Explique siempre el contexto inicial, la modificación aplicada y la granularidad del resultado.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4:M4"/>
    <x:mergeCell ref="A6:F6"/>
    <x:mergeCell ref="H6:M6"/>
    <x:mergeCell ref="A7:B7"/>
    <x:mergeCell ref="C7:F7"/>
    <x:mergeCell ref="H7:I7"/>
    <x:mergeCell ref="J7:M7"/>
    <x:mergeCell ref="A8:B8"/>
    <x:mergeCell ref="C8:F8"/>
    <x:mergeCell ref="H8:I8"/>
    <x:mergeCell ref="J8:M8"/>
    <x:mergeCell ref="A9:B9"/>
    <x:mergeCell ref="C9:F9"/>
    <x:mergeCell ref="H9:I9"/>
    <x:mergeCell ref="J9:M9"/>
    <x:mergeCell ref="A10:B10"/>
    <x:mergeCell ref="C10:F10"/>
    <x:mergeCell ref="H10:I10"/>
    <x:mergeCell ref="J10:M10"/>
    <x:mergeCell ref="A11:B11"/>
    <x:mergeCell ref="C11:F11"/>
    <x:mergeCell ref="H11:I11"/>
    <x:mergeCell ref="J11:M11"/>
    <x:mergeCell ref="A12:B12"/>
    <x:mergeCell ref="C12:F12"/>
    <x:mergeCell ref="H12:I12"/>
    <x:mergeCell ref="J12:M12"/>
    <x:mergeCell ref="A13:B13"/>
    <x:mergeCell ref="C13:F13"/>
    <x:mergeCell ref="H13:I13"/>
    <x:mergeCell ref="J13:M13"/>
    <x:mergeCell ref="A14:B14"/>
    <x:mergeCell ref="C14:F14"/>
    <x:mergeCell ref="H14:I14"/>
    <x:mergeCell ref="J14:M14"/>
    <x:mergeCell ref="A15:B15"/>
    <x:mergeCell ref="C15:F15"/>
    <x:mergeCell ref="H15:I15"/>
    <x:mergeCell ref="J15:M15"/>
    <x:mergeCell ref="A17:B17"/>
    <x:mergeCell ref="C17:F17"/>
    <x:mergeCell ref="H17:I17"/>
    <x:mergeCell ref="J17:M17"/>
    <x:mergeCell ref="A20:M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B6B6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.329999923706055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6.78000020980835" hidden="0" customWidth="1"/>
    <x:col min="9" max="9" width="16" hidden="0" customWidth="1"/>
    <x:col min="10" max="10" width="15" hidden="0" customWidth="1"/>
    <x:col min="11" max="11" width="15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>
      <x:c r="A1" s="68" t="str">
        <x:v>Transacción</x:v>
      </x:c>
      <x:c r="B1" s="68" t="str">
        <x:v>Año</x:v>
      </x:c>
      <x:c r="C1" s="68" t="str">
        <x:v>Cliente</x:v>
      </x:c>
      <x:c r="D1" s="68" t="str">
        <x:v>País</x:v>
      </x:c>
      <x:c r="E1" s="68" t="str">
        <x:v>Segmento</x:v>
      </x:c>
      <x:c r="F1" s="68" t="str">
        <x:v>Canal</x:v>
      </x:c>
      <x:c r="G1" s="68" t="str">
        <x:v>Grupo canal</x:v>
      </x:c>
      <x:c r="H1" s="68" t="str">
        <x:v>Digital</x:v>
      </x:c>
      <x:c r="I1" s="68" t="str">
        <x:v>Estado</x:v>
      </x:c>
      <x:c r="J1" s="68" t="str">
        <x:v>Monto USD</x:v>
      </x:c>
      <x:c r="K1" s="68" t="str">
        <x:v>Monto absoluto</x:v>
      </x:c>
      <x:c r="M1" s="74" t="str">
        <x:v>Canal</x:v>
      </x:c>
      <x:c r="N1" s="75" t="str">
        <x:v>Transacciones 2025</x:v>
      </x:c>
      <x:c r="O1" s="76" t="str">
        <x:v>Volumen 2025</x:v>
      </x:c>
    </x:row>
    <x:row r="2">
      <x:c r="A2" s="65" t="str">
        <x:v>TX00000001</x:v>
      </x:c>
      <x:c r="B2" s="69" t="n">
        <x:v>2023</x:v>
      </x:c>
      <x:c r="C2" s="65" t="str">
        <x:v>CL002971</x:v>
      </x:c>
      <x:c r="D2" s="65" t="str">
        <x:v>Colombia</x:v>
      </x:c>
      <x:c r="E2" s="65" t="str">
        <x:v>PyME</x:v>
      </x:c>
      <x:c r="F2" s="65" t="str">
        <x:v>App móvil</x:v>
      </x:c>
      <x:c r="G2" s="65" t="str">
        <x:v>Digital</x:v>
      </x:c>
      <x:c r="H2" s="69" t="n">
        <x:v>1</x:v>
      </x:c>
      <x:c r="I2" s="65" t="str">
        <x:v>Contabilizada</x:v>
      </x:c>
      <x:c r="J2" s="70" t="n">
        <x:v>-9770.22</x:v>
      </x:c>
      <x:c r="K2" s="70" t="n">
        <x:f>ABS(J2)</x:f>
        <x:v>9770.22</x:v>
      </x:c>
      <x:c r="M2" s="77" t="str">
        <x:v>Sucursal</x:v>
      </x:c>
      <x:c r="N2" s="65" t="n">
        <x:f>COUNTIFS($B$2:$B$21,2025,$F$2:$F$21,M2)</x:f>
        <x:v>2</x:v>
      </x:c>
      <x:c r="O2" s="78" t="n">
        <x:f>SUMIFS($K$2:$K$21,$B$2:$B$21,2025,$F$2:$F$21,M2)</x:f>
        <x:v>6754.51</x:v>
      </x:c>
    </x:row>
    <x:row r="3">
      <x:c r="A3" s="65" t="str">
        <x:v>TX00000002</x:v>
      </x:c>
      <x:c r="B3" s="69" t="n">
        <x:v>2025</x:v>
      </x:c>
      <x:c r="C3" s="65" t="str">
        <x:v>CL000611</x:v>
      </x:c>
      <x:c r="D3" s="65" t="str">
        <x:v>México</x:v>
      </x:c>
      <x:c r="E3" s="65" t="str">
        <x:v>Masivo</x:v>
      </x:c>
      <x:c r="F3" s="65" t="str">
        <x:v>Centro de contacto</x:v>
      </x:c>
      <x:c r="G3" s="65" t="str">
        <x:v>Remoto</x:v>
      </x:c>
      <x:c r="H3" s="69" t="n">
        <x:v>0</x:v>
      </x:c>
      <x:c r="I3" s="65" t="str">
        <x:v>Contabilizada</x:v>
      </x:c>
      <x:c r="J3" s="70" t="n">
        <x:v>-619.07</x:v>
      </x:c>
      <x:c r="K3" s="70" t="n">
        <x:f>ABS(J3)</x:f>
        <x:v>619.07</x:v>
      </x:c>
      <x:c r="M3" s="77" t="str">
        <x:v>App móvil</x:v>
      </x:c>
      <x:c r="N3" s="65" t="n">
        <x:f>COUNTIFS($B$2:$B$21,2025,$F$2:$F$21,M3)</x:f>
        <x:v>2</x:v>
      </x:c>
      <x:c r="O3" s="78" t="n">
        <x:f>SUMIFS($K$2:$K$21,$B$2:$B$21,2025,$F$2:$F$21,M3)</x:f>
        <x:v>1274.08</x:v>
      </x:c>
    </x:row>
    <x:row r="4">
      <x:c r="A4" s="65" t="str">
        <x:v>TX00000003</x:v>
      </x:c>
      <x:c r="B4" s="69" t="n">
        <x:v>2025</x:v>
      </x:c>
      <x:c r="C4" s="65" t="str">
        <x:v>CL000384</x:v>
      </x:c>
      <x:c r="D4" s="65" t="str">
        <x:v>México</x:v>
      </x:c>
      <x:c r="E4" s="65" t="str">
        <x:v>Afluente</x:v>
      </x:c>
      <x:c r="F4" s="65" t="str">
        <x:v>App móvil</x:v>
      </x:c>
      <x:c r="G4" s="65" t="str">
        <x:v>Digital</x:v>
      </x:c>
      <x:c r="H4" s="69" t="n">
        <x:v>1</x:v>
      </x:c>
      <x:c r="I4" s="65" t="str">
        <x:v>Contabilizada</x:v>
      </x:c>
      <x:c r="J4" s="70" t="n">
        <x:v>677.38</x:v>
      </x:c>
      <x:c r="K4" s="70" t="n">
        <x:f>ABS(J4)</x:f>
        <x:v>677.38</x:v>
      </x:c>
      <x:c r="M4" s="77" t="str">
        <x:v>Banca web</x:v>
      </x:c>
      <x:c r="N4" s="65" t="n">
        <x:f>COUNTIFS($B$2:$B$21,2025,$F$2:$F$21,M4)</x:f>
        <x:v>0</x:v>
      </x:c>
      <x:c r="O4" s="78" t="n">
        <x:f>SUMIFS($K$2:$K$21,$B$2:$B$21,2025,$F$2:$F$21,M4)</x:f>
        <x:v>0</x:v>
      </x:c>
    </x:row>
    <x:row r="5">
      <x:c r="A5" s="65" t="str">
        <x:v>TX00000004</x:v>
      </x:c>
      <x:c r="B5" s="69" t="n">
        <x:v>2024</x:v>
      </x:c>
      <x:c r="C5" s="65" t="str">
        <x:v>CL001339</x:v>
      </x:c>
      <x:c r="D5" s="65" t="str">
        <x:v>México</x:v>
      </x:c>
      <x:c r="E5" s="65" t="str">
        <x:v>Masivo</x:v>
      </x:c>
      <x:c r="F5" s="65" t="str">
        <x:v>API / Open banking</x:v>
      </x:c>
      <x:c r="G5" s="65" t="str">
        <x:v>Digital</x:v>
      </x:c>
      <x:c r="H5" s="69" t="n">
        <x:v>1</x:v>
      </x:c>
      <x:c r="I5" s="65" t="str">
        <x:v>Contabilizada</x:v>
      </x:c>
      <x:c r="J5" s="70" t="n">
        <x:v>-944.26</x:v>
      </x:c>
      <x:c r="K5" s="70" t="n">
        <x:f>ABS(J5)</x:f>
        <x:v>944.26</x:v>
      </x:c>
      <x:c r="M5" s="77" t="str">
        <x:v>Cajero automático</x:v>
      </x:c>
      <x:c r="N5" s="65" t="n">
        <x:f>COUNTIFS($B$2:$B$21,2025,$F$2:$F$21,M5)</x:f>
        <x:v>4</x:v>
      </x:c>
      <x:c r="O5" s="78" t="n">
        <x:f>SUMIFS($K$2:$K$21,$B$2:$B$21,2025,$F$2:$F$21,M5)</x:f>
        <x:v>11323.37</x:v>
      </x:c>
    </x:row>
    <x:row r="6">
      <x:c r="A6" s="65" t="str">
        <x:v>TX00000005</x:v>
      </x:c>
      <x:c r="B6" s="69" t="n">
        <x:v>2024</x:v>
      </x:c>
      <x:c r="C6" s="65" t="str">
        <x:v>CL003404</x:v>
      </x:c>
      <x:c r="D6" s="65" t="str">
        <x:v>Chile</x:v>
      </x:c>
      <x:c r="E6" s="65" t="str">
        <x:v>PyME</x:v>
      </x:c>
      <x:c r="F6" s="65" t="str">
        <x:v>Cajero automático</x:v>
      </x:c>
      <x:c r="G6" s="65" t="str">
        <x:v>Autoservicio</x:v>
      </x:c>
      <x:c r="H6" s="69" t="n">
        <x:v>1</x:v>
      </x:c>
      <x:c r="I6" s="65" t="str">
        <x:v>Contabilizada</x:v>
      </x:c>
      <x:c r="J6" s="70" t="n">
        <x:v>-255.11</x:v>
      </x:c>
      <x:c r="K6" s="70" t="n">
        <x:f>ABS(J6)</x:f>
        <x:v>255.11</x:v>
      </x:c>
      <x:c r="M6" s="77" t="str">
        <x:v>Centro de contacto</x:v>
      </x:c>
      <x:c r="N6" s="65" t="n">
        <x:f>COUNTIFS($B$2:$B$21,2025,$F$2:$F$21,M6)</x:f>
        <x:v>2</x:v>
      </x:c>
      <x:c r="O6" s="78" t="n">
        <x:f>SUMIFS($K$2:$K$21,$B$2:$B$21,2025,$F$2:$F$21,M6)</x:f>
        <x:v>8665.98</x:v>
      </x:c>
    </x:row>
    <x:row r="7">
      <x:c r="A7" s="65" t="str">
        <x:v>TX00000009</x:v>
      </x:c>
      <x:c r="B7" s="69" t="n">
        <x:v>2023</x:v>
      </x:c>
      <x:c r="C7" s="65" t="str">
        <x:v>CL003555</x:v>
      </x:c>
      <x:c r="D7" s="65" t="str">
        <x:v>Colombia</x:v>
      </x:c>
      <x:c r="E7" s="65" t="str">
        <x:v>PyME</x:v>
      </x:c>
      <x:c r="F7" s="65" t="str">
        <x:v>Sucursal</x:v>
      </x:c>
      <x:c r="G7" s="65" t="str">
        <x:v>Presencial</x:v>
      </x:c>
      <x:c r="H7" s="69" t="n">
        <x:v>0</x:v>
      </x:c>
      <x:c r="I7" s="65" t="str">
        <x:v>Contabilizada</x:v>
      </x:c>
      <x:c r="J7" s="70" t="n">
        <x:v>7076.74</x:v>
      </x:c>
      <x:c r="K7" s="70" t="n">
        <x:f>ABS(J7)</x:f>
        <x:v>7076.74</x:v>
      </x:c>
      <x:c r="M7" s="79" t="str">
        <x:v>API / Open banking</x:v>
      </x:c>
      <x:c r="N7" s="80" t="n">
        <x:f>COUNTIFS($B$2:$B$21,2025,$F$2:$F$21,M7)</x:f>
        <x:v>0</x:v>
      </x:c>
      <x:c r="O7" s="81" t="n">
        <x:f>SUMIFS($K$2:$K$21,$B$2:$B$21,2025,$F$2:$F$21,M7)</x:f>
        <x:v>0</x:v>
      </x:c>
    </x:row>
    <x:row r="8">
      <x:c r="A8" s="65" t="str">
        <x:v>TX00000010</x:v>
      </x:c>
      <x:c r="B8" s="69" t="n">
        <x:v>2025</x:v>
      </x:c>
      <x:c r="C8" s="65" t="str">
        <x:v>CL003988</x:v>
      </x:c>
      <x:c r="D8" s="65" t="str">
        <x:v>Colombia</x:v>
      </x:c>
      <x:c r="E8" s="65" t="str">
        <x:v>PyME</x:v>
      </x:c>
      <x:c r="F8" s="65" t="str">
        <x:v>Cajero automático</x:v>
      </x:c>
      <x:c r="G8" s="65" t="str">
        <x:v>Autoservicio</x:v>
      </x:c>
      <x:c r="H8" s="69" t="n">
        <x:v>1</x:v>
      </x:c>
      <x:c r="I8" s="65" t="str">
        <x:v>Contabilizada</x:v>
      </x:c>
      <x:c r="J8" s="70" t="n">
        <x:v>-2886.91</x:v>
      </x:c>
      <x:c r="K8" s="70" t="n">
        <x:f>ABS(J8)</x:f>
        <x:v>2886.91</x:v>
      </x:c>
    </x:row>
    <x:row r="9">
      <x:c r="A9" s="65" t="str">
        <x:v>TX00000015</x:v>
      </x:c>
      <x:c r="B9" s="69" t="n">
        <x:v>2023</x:v>
      </x:c>
      <x:c r="C9" s="65" t="str">
        <x:v>CL002718</x:v>
      </x:c>
      <x:c r="D9" s="65" t="str">
        <x:v>Canadá</x:v>
      </x:c>
      <x:c r="E9" s="65" t="str">
        <x:v>Afluente</x:v>
      </x:c>
      <x:c r="F9" s="65" t="str">
        <x:v>Cajero automático</x:v>
      </x:c>
      <x:c r="G9" s="65" t="str">
        <x:v>Autoservicio</x:v>
      </x:c>
      <x:c r="H9" s="69" t="n">
        <x:v>1</x:v>
      </x:c>
      <x:c r="I9" s="65" t="str">
        <x:v>Contabilizada</x:v>
      </x:c>
      <x:c r="J9" s="70" t="n">
        <x:v>1251.03</x:v>
      </x:c>
      <x:c r="K9" s="70" t="n">
        <x:f>ABS(J9)</x:f>
        <x:v>1251.03</x:v>
      </x:c>
    </x:row>
    <x:row r="10">
      <x:c r="A10" s="65" t="str">
        <x:v>TX00000016</x:v>
      </x:c>
      <x:c r="B10" s="69" t="n">
        <x:v>2024</x:v>
      </x:c>
      <x:c r="C10" s="65" t="str">
        <x:v>CL000714</x:v>
      </x:c>
      <x:c r="D10" s="65" t="str">
        <x:v>Chile</x:v>
      </x:c>
      <x:c r="E10" s="65" t="str">
        <x:v>Masivo</x:v>
      </x:c>
      <x:c r="F10" s="65" t="str">
        <x:v>App móvil</x:v>
      </x:c>
      <x:c r="G10" s="65" t="str">
        <x:v>Digital</x:v>
      </x:c>
      <x:c r="H10" s="69" t="n">
        <x:v>1</x:v>
      </x:c>
      <x:c r="I10" s="65" t="str">
        <x:v>Contabilizada</x:v>
      </x:c>
      <x:c r="J10" s="70" t="n">
        <x:v>-2009.82</x:v>
      </x:c>
      <x:c r="K10" s="70" t="n">
        <x:f>ABS(J10)</x:f>
        <x:v>2009.82</x:v>
      </x:c>
      <x:c r="M10" s="84" t="str">
        <x:v>Uso de la muestra</x:v>
      </x:c>
      <x:c r="N10" s="84"/>
      <x:c r="O10" s="84"/>
    </x:row>
    <x:row r="11">
      <x:c r="A11" s="65" t="str">
        <x:v>TX00000017</x:v>
      </x:c>
      <x:c r="B11" s="69" t="n">
        <x:v>2025</x:v>
      </x:c>
      <x:c r="C11" s="65" t="str">
        <x:v>CL001830</x:v>
      </x:c>
      <x:c r="D11" s="65" t="str">
        <x:v>México</x:v>
      </x:c>
      <x:c r="E11" s="65" t="str">
        <x:v>Corporativo</x:v>
      </x:c>
      <x:c r="F11" s="65" t="str">
        <x:v>Centro de contacto</x:v>
      </x:c>
      <x:c r="G11" s="65" t="str">
        <x:v>Remoto</x:v>
      </x:c>
      <x:c r="H11" s="69" t="n">
        <x:v>0</x:v>
      </x:c>
      <x:c r="I11" s="65" t="str">
        <x:v>Contabilizada</x:v>
      </x:c>
      <x:c r="J11" s="70" t="n">
        <x:v>8046.91</x:v>
      </x:c>
      <x:c r="K11" s="70" t="n">
        <x:f>ABS(J11)</x:f>
        <x:v>8046.91</x:v>
      </x:c>
      <x:c r="M11" s="104" t="str">
        <x:v>Muestra demostrativa extraída del caso bancario. Las fichas usan estas 20 filas para producir resultados pequeños y verificables. En Power BI, aplique las mismas medidas al conjunto completo de CSV.</x:v>
      </x:c>
      <x:c r="N11" s="105"/>
      <x:c r="O11" s="106"/>
    </x:row>
    <x:row r="12">
      <x:c r="A12" s="65" t="str">
        <x:v>TX00000174</x:v>
      </x:c>
      <x:c r="B12" s="69" t="n">
        <x:v>2025</x:v>
      </x:c>
      <x:c r="C12" s="65" t="str">
        <x:v>CL002645</x:v>
      </x:c>
      <x:c r="D12" s="65" t="str">
        <x:v>Chile</x:v>
      </x:c>
      <x:c r="E12" s="65" t="str">
        <x:v>PyME</x:v>
      </x:c>
      <x:c r="F12" s="65" t="str">
        <x:v>Cajero automático</x:v>
      </x:c>
      <x:c r="G12" s="65" t="str">
        <x:v>Autoservicio</x:v>
      </x:c>
      <x:c r="H12" s="69" t="n">
        <x:v>1</x:v>
      </x:c>
      <x:c r="I12" s="65" t="str">
        <x:v>Rechazada</x:v>
      </x:c>
      <x:c r="J12" s="70" t="n">
        <x:v>-6794.01</x:v>
      </x:c>
      <x:c r="K12" s="70" t="n">
        <x:f>ABS(J12)</x:f>
        <x:v>6794.01</x:v>
      </x:c>
      <x:c r="M12" s="107"/>
      <x:c r="N12" s="108"/>
      <x:c r="O12" s="109"/>
    </x:row>
    <x:row r="13">
      <x:c r="A13" s="65" t="str">
        <x:v>TX00000192</x:v>
      </x:c>
      <x:c r="B13" s="69" t="n">
        <x:v>2025</x:v>
      </x:c>
      <x:c r="C13" s="65" t="str">
        <x:v>CL002601</x:v>
      </x:c>
      <x:c r="D13" s="65" t="str">
        <x:v>Chile</x:v>
      </x:c>
      <x:c r="E13" s="65" t="str">
        <x:v>Corporativo</x:v>
      </x:c>
      <x:c r="F13" s="65" t="str">
        <x:v>Sucursal</x:v>
      </x:c>
      <x:c r="G13" s="65" t="str">
        <x:v>Presencial</x:v>
      </x:c>
      <x:c r="H13" s="69" t="n">
        <x:v>0</x:v>
      </x:c>
      <x:c r="I13" s="65" t="str">
        <x:v>Rechazada</x:v>
      </x:c>
      <x:c r="J13" s="70" t="n">
        <x:v>-4217.54</x:v>
      </x:c>
      <x:c r="K13" s="70" t="n">
        <x:f>ABS(J13)</x:f>
        <x:v>4217.54</x:v>
      </x:c>
      <x:c r="M13" s="107"/>
      <x:c r="N13" s="108"/>
      <x:c r="O13" s="109"/>
    </x:row>
    <x:row r="14">
      <x:c r="A14" s="65" t="str">
        <x:v>TX00000203</x:v>
      </x:c>
      <x:c r="B14" s="69" t="n">
        <x:v>2025</x:v>
      </x:c>
      <x:c r="C14" s="65" t="str">
        <x:v>CL001513</x:v>
      </x:c>
      <x:c r="D14" s="65" t="str">
        <x:v>Canadá</x:v>
      </x:c>
      <x:c r="E14" s="65" t="str">
        <x:v>Masivo</x:v>
      </x:c>
      <x:c r="F14" s="65" t="str">
        <x:v>Cajero automático</x:v>
      </x:c>
      <x:c r="G14" s="65" t="str">
        <x:v>Autoservicio</x:v>
      </x:c>
      <x:c r="H14" s="69" t="n">
        <x:v>1</x:v>
      </x:c>
      <x:c r="I14" s="65" t="str">
        <x:v>Rechazada</x:v>
      </x:c>
      <x:c r="J14" s="70" t="n">
        <x:v>-758.11</x:v>
      </x:c>
      <x:c r="K14" s="70" t="n">
        <x:f>ABS(J14)</x:f>
        <x:v>758.11</x:v>
      </x:c>
      <x:c r="M14" s="110"/>
      <x:c r="N14" s="111"/>
      <x:c r="O14" s="112"/>
    </x:row>
    <x:row r="15">
      <x:c r="A15" s="65" t="str">
        <x:v>TX00000213</x:v>
      </x:c>
      <x:c r="B15" s="69" t="n">
        <x:v>2024</x:v>
      </x:c>
      <x:c r="C15" s="65" t="str">
        <x:v>CL003717</x:v>
      </x:c>
      <x:c r="D15" s="65" t="str">
        <x:v>México</x:v>
      </x:c>
      <x:c r="E15" s="65" t="str">
        <x:v>Masivo</x:v>
      </x:c>
      <x:c r="F15" s="65" t="str">
        <x:v>Banca web</x:v>
      </x:c>
      <x:c r="G15" s="65" t="str">
        <x:v>Digital</x:v>
      </x:c>
      <x:c r="H15" s="69" t="n">
        <x:v>1</x:v>
      </x:c>
      <x:c r="I15" s="65" t="str">
        <x:v>Rechazada</x:v>
      </x:c>
      <x:c r="J15" s="70" t="n">
        <x:v>-94.65</x:v>
      </x:c>
      <x:c r="K15" s="70" t="n">
        <x:f>ABS(J15)</x:f>
        <x:v>94.65</x:v>
      </x:c>
    </x:row>
    <x:row r="16">
      <x:c r="A16" s="65" t="str">
        <x:v>TX00000214</x:v>
      </x:c>
      <x:c r="B16" s="69" t="n">
        <x:v>2025</x:v>
      </x:c>
      <x:c r="C16" s="65" t="str">
        <x:v>CL000396</x:v>
      </x:c>
      <x:c r="D16" s="65" t="str">
        <x:v>Colombia</x:v>
      </x:c>
      <x:c r="E16" s="65" t="str">
        <x:v>Masivo</x:v>
      </x:c>
      <x:c r="F16" s="65" t="str">
        <x:v>Cajero automático</x:v>
      </x:c>
      <x:c r="G16" s="65" t="str">
        <x:v>Autoservicio</x:v>
      </x:c>
      <x:c r="H16" s="69" t="n">
        <x:v>1</x:v>
      </x:c>
      <x:c r="I16" s="65" t="str">
        <x:v>Rechazada</x:v>
      </x:c>
      <x:c r="J16" s="70" t="n">
        <x:v>884.34</x:v>
      </x:c>
      <x:c r="K16" s="70" t="n">
        <x:f>ABS(J16)</x:f>
        <x:v>884.34</x:v>
      </x:c>
    </x:row>
    <x:row r="17">
      <x:c r="A17" s="65" t="str">
        <x:v>TX00000282</x:v>
      </x:c>
      <x:c r="B17" s="69" t="n">
        <x:v>2025</x:v>
      </x:c>
      <x:c r="C17" s="65" t="str">
        <x:v>CL002075</x:v>
      </x:c>
      <x:c r="D17" s="65" t="str">
        <x:v>Perú</x:v>
      </x:c>
      <x:c r="E17" s="65" t="str">
        <x:v>Masivo</x:v>
      </x:c>
      <x:c r="F17" s="65" t="str">
        <x:v>App móvil</x:v>
      </x:c>
      <x:c r="G17" s="65" t="str">
        <x:v>Digital</x:v>
      </x:c>
      <x:c r="H17" s="69" t="n">
        <x:v>1</x:v>
      </x:c>
      <x:c r="I17" s="65" t="str">
        <x:v>Rechazada</x:v>
      </x:c>
      <x:c r="J17" s="70" t="n">
        <x:v>596.7</x:v>
      </x:c>
      <x:c r="K17" s="70" t="n">
        <x:f>ABS(J17)</x:f>
        <x:v>596.7</x:v>
      </x:c>
    </x:row>
    <x:row r="18">
      <x:c r="A18" s="65" t="str">
        <x:v>TX00000328</x:v>
      </x:c>
      <x:c r="B18" s="69" t="n">
        <x:v>2024</x:v>
      </x:c>
      <x:c r="C18" s="65" t="str">
        <x:v>CL001774</x:v>
      </x:c>
      <x:c r="D18" s="65" t="str">
        <x:v>México</x:v>
      </x:c>
      <x:c r="E18" s="65" t="str">
        <x:v>PyME</x:v>
      </x:c>
      <x:c r="F18" s="65" t="str">
        <x:v>API / Open banking</x:v>
      </x:c>
      <x:c r="G18" s="65" t="str">
        <x:v>Digital</x:v>
      </x:c>
      <x:c r="H18" s="69" t="n">
        <x:v>1</x:v>
      </x:c>
      <x:c r="I18" s="65" t="str">
        <x:v>Reversada</x:v>
      </x:c>
      <x:c r="J18" s="70" t="n">
        <x:v>-1605.8</x:v>
      </x:c>
      <x:c r="K18" s="70" t="n">
        <x:f>ABS(J18)</x:f>
        <x:v>1605.8</x:v>
      </x:c>
    </x:row>
    <x:row r="19">
      <x:c r="A19" s="65" t="str">
        <x:v>TX00000567</x:v>
      </x:c>
      <x:c r="B19" s="69" t="n">
        <x:v>2024</x:v>
      </x:c>
      <x:c r="C19" s="65" t="str">
        <x:v>CL003109</x:v>
      </x:c>
      <x:c r="D19" s="65" t="str">
        <x:v>Perú</x:v>
      </x:c>
      <x:c r="E19" s="65" t="str">
        <x:v>Masivo</x:v>
      </x:c>
      <x:c r="F19" s="65" t="str">
        <x:v>Centro de contacto</x:v>
      </x:c>
      <x:c r="G19" s="65" t="str">
        <x:v>Remoto</x:v>
      </x:c>
      <x:c r="H19" s="69" t="n">
        <x:v>0</x:v>
      </x:c>
      <x:c r="I19" s="65" t="str">
        <x:v>Reversada</x:v>
      </x:c>
      <x:c r="J19" s="70" t="n">
        <x:v>-1038.65</x:v>
      </x:c>
      <x:c r="K19" s="70" t="n">
        <x:f>ABS(J19)</x:f>
        <x:v>1038.65</x:v>
      </x:c>
    </x:row>
    <x:row r="20">
      <x:c r="A20" s="65" t="str">
        <x:v>TX00001054</x:v>
      </x:c>
      <x:c r="B20" s="69" t="n">
        <x:v>2025</x:v>
      </x:c>
      <x:c r="C20" s="65" t="str">
        <x:v>CL003075</x:v>
      </x:c>
      <x:c r="D20" s="65" t="str">
        <x:v>México</x:v>
      </x:c>
      <x:c r="E20" s="65" t="str">
        <x:v>Masivo</x:v>
      </x:c>
      <x:c r="F20" s="65" t="str">
        <x:v>Sucursal</x:v>
      </x:c>
      <x:c r="G20" s="65" t="str">
        <x:v>Presencial</x:v>
      </x:c>
      <x:c r="H20" s="69" t="n">
        <x:v>0</x:v>
      </x:c>
      <x:c r="I20" s="65" t="str">
        <x:v>Reversada</x:v>
      </x:c>
      <x:c r="J20" s="70" t="n">
        <x:v>-2536.97</x:v>
      </x:c>
      <x:c r="K20" s="70" t="n">
        <x:f>ABS(J20)</x:f>
        <x:v>2536.97</x:v>
      </x:c>
    </x:row>
    <x:row r="21">
      <x:c r="A21" s="65" t="str">
        <x:v>TX00001113</x:v>
      </x:c>
      <x:c r="B21" s="69" t="n">
        <x:v>2023</x:v>
      </x:c>
      <x:c r="C21" s="65" t="str">
        <x:v>CL001070</x:v>
      </x:c>
      <x:c r="D21" s="65" t="str">
        <x:v>Chile</x:v>
      </x:c>
      <x:c r="E21" s="65" t="str">
        <x:v>Afluente</x:v>
      </x:c>
      <x:c r="F21" s="65" t="str">
        <x:v>Cajero automático</x:v>
      </x:c>
      <x:c r="G21" s="65" t="str">
        <x:v>Autoservicio</x:v>
      </x:c>
      <x:c r="H21" s="69" t="n">
        <x:v>1</x:v>
      </x:c>
      <x:c r="I21" s="65" t="str">
        <x:v>Reversada</x:v>
      </x:c>
      <x:c r="J21" s="70" t="n">
        <x:v>899.91</x:v>
      </x:c>
      <x:c r="K21" s="70" t="n">
        <x:f>ABS(J21)</x:f>
        <x:v>899.91</x:v>
      </x:c>
    </x:row>
  </x:sheetData>
  <x:mergeCells>
    <x:mergeCell ref="M10:O10"/>
    <x:mergeCell ref="M11:O14"/>
  </x:mergeCells>
  <x:pageMargins left="0.7" right="0.7" top="0.75" bottom="0.75" header="0.3" footer="0.3"/>
  <x:tableParts count="1">
    <x:tablePart xmlns:r="http://schemas.openxmlformats.org/officeDocument/2006/relationships" r:id="Rc46167f0c5c643ab"/>
  </x:tableParts>
</x:worksheet>
</file>