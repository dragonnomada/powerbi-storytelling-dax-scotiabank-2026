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"/>
    </mc:Choice>
  </mc:AlternateContent>
  <xr:revisionPtr revIDLastSave="0" documentId="13_ncr:1_{C7436403-B0D3-4619-B5B7-4C888EB5C4E6}" xr6:coauthVersionLast="47" xr6:coauthVersionMax="47" xr10:uidLastSave="{00000000-0000-0000-0000-000000000000}"/>
  <bookViews>
    <workbookView xWindow="2730" yWindow="2730" windowWidth="21600" windowHeight="11295" xr2:uid="{D2E28E29-0E6D-4FC8-872E-29035391F8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9" i="1" l="1"/>
  <c r="R19" i="1"/>
  <c r="Q19" i="1"/>
  <c r="Q20" i="1" s="1"/>
  <c r="C37" i="1" a="1"/>
  <c r="C37" i="1" s="1"/>
  <c r="D37" i="1" s="1" a="1"/>
  <c r="D37" i="1" s="1"/>
  <c r="G18" i="1" a="1"/>
  <c r="G18" i="1" s="1"/>
  <c r="C18" i="1" a="1"/>
  <c r="C18" i="1" s="1"/>
  <c r="C19" i="1" a="1"/>
  <c r="C19" i="1" s="1"/>
  <c r="Q21" i="1" l="1"/>
  <c r="R20" i="1"/>
  <c r="S20" i="1"/>
  <c r="U20" i="1" s="1"/>
  <c r="U19" i="1"/>
  <c r="G21" i="1"/>
  <c r="H21" i="1" s="1"/>
  <c r="I21" i="1" s="1"/>
  <c r="G20" i="1"/>
  <c r="H20" i="1" s="1"/>
  <c r="I20" i="1" s="1"/>
  <c r="G19" i="1"/>
  <c r="H19" i="1" s="1"/>
  <c r="I19" i="1" s="1"/>
  <c r="G24" i="1"/>
  <c r="H24" i="1" s="1"/>
  <c r="I24" i="1" s="1"/>
  <c r="D40" i="1" a="1"/>
  <c r="D40" i="1" s="1"/>
  <c r="G23" i="1"/>
  <c r="H23" i="1" s="1"/>
  <c r="I23" i="1" s="1"/>
  <c r="D39" i="1" a="1"/>
  <c r="D39" i="1" s="1"/>
  <c r="G25" i="1"/>
  <c r="H25" i="1" s="1"/>
  <c r="I25" i="1" s="1"/>
  <c r="G22" i="1"/>
  <c r="H22" i="1" s="1"/>
  <c r="I22" i="1" s="1"/>
  <c r="D38" i="1" a="1"/>
  <c r="D38" i="1" s="1"/>
  <c r="R21" i="1" l="1"/>
  <c r="S21" i="1"/>
  <c r="U21" i="1" l="1"/>
  <c r="U23" i="1" s="1"/>
  <c r="S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<sst xmlns="http://schemas.openxmlformats.org/spreadsheetml/2006/main" count="30" uniqueCount="14">
  <si>
    <t>ID FACTURA</t>
  </si>
  <si>
    <t>IMPORTE</t>
  </si>
  <si>
    <t>ID PAGO</t>
  </si>
  <si>
    <t>PARCIALIDAD</t>
  </si>
  <si>
    <t>PAGADO</t>
  </si>
  <si>
    <t>% PAGADO</t>
  </si>
  <si>
    <t>ACUM. PAGADO</t>
  </si>
  <si>
    <t>% ACUM. PAGADO</t>
  </si>
  <si>
    <t>SALDO</t>
  </si>
  <si>
    <t>APLICA IMPORTE</t>
  </si>
  <si>
    <t>SALDO PENDIENTE</t>
  </si>
  <si>
    <t>HECHOS DE FACTURAS</t>
  </si>
  <si>
    <t>HECHOS DE PAGOS</t>
  </si>
  <si>
    <t>REPORTE DE UNA FACTURA CONSIDERANDO EL IMPORTE REPLICADO PARA OBTENER LA SUMA DEL SALDO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</si>
</sst>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164" fontId="4" fillId="0" borderId="0" xfId="0" applyNumberFormat="1" applyFont="1"/>
    <xf numFmtId="0" fontId="3" fillId="3" borderId="1" xfId="3" applyAlignment="1">
      <alignment horizontal="center"/>
    </xf>
    <xf numFmtId="0" fontId="2" fillId="2" borderId="0" xfId="2" applyAlignment="1">
      <alignment horizontal="center"/>
    </xf>
  </cellXfs>
  <cellStyles count="4">
    <cellStyle name="Cálculo" xfId="3" builtinId="22"/>
    <cellStyle name="Neutral" xfId="2" builtinId="28"/>
    <cellStyle name="Normal" xfId="0" builtinId="0"/>
    <cellStyle name="Porcentaje" xfId="1" builtinId="5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Hoja1!$D$36</c:f>
              <c:strCache>
                <c:ptCount val="1"/>
                <c:pt idx="0">
                  <c:v>% PAGADO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Hoja1!$D$37:$D$40</c:f>
              <c:numCache>
                <c:formatCode>0%</c:formatCode>
                <c:ptCount val="4"/>
                <c:pt idx="0">
                  <c:v>0.81632653061224492</c:v>
                </c:pt>
                <c:pt idx="1">
                  <c:v>0.81395348837209303</c:v>
                </c:pt>
                <c:pt idx="2">
                  <c:v>1</c:v>
                </c:pt>
                <c:pt idx="3">
                  <c:v>0.73529411764705888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8-4376-8C42-BB8643CE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408991"/>
        <c:axId val="1968051311"/>
      </c:barChart>
      <c:catAx>
        <c:axId val="65840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68051311"/>
        <c:crosses val="autoZero"/>
        <c:auto val="1"/>
        <c:lblAlgn val="ctr"/>
        <c:lblOffset val="100"/>
        <c:noMultiLvlLbl val="0"/>
      </c:catAx>
      <c:valAx>
        <c:axId val="196805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840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578068</xdr:colOff>
      <xdr:row>35</xdr:row>
      <xdr:rowOff>105103</xdr:rowOff>
    </xdr:from>
    <xdr:to>
      <xdr:col>9</xdr:col>
      <xdr:colOff>236482</xdr:colOff>
      <xdr:row>43</xdr:row>
      <xdr:rowOff>107075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F73441-1099-570F-0BE2-B6F4BF3C7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04738-91C1-473D-9D82-1EA10C79B778}" name="Facturas" displayName="Facturas" ref="B6:C10" totalsRowShown="0">
  <autoFilter ref="B6:C10" xr:uid="{D3F04738-91C1-473D-9D82-1EA10C79B778}"/>
  <tableColumns count="2">
    <tableColumn id="1" xr3:uid="{1C8AE4CE-AF6D-4B47-9E90-DC66EC4846C5}" name="ID FACTURA"/>
    <tableColumn id="2" xr3:uid="{474D505F-E5DB-407E-A7B1-89F5FA081735}" name="IMPOR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86087-D977-4CB0-88D6-336DFF72DB92}" name="Pagos" displayName="Pagos" ref="G6:J13" totalsRowShown="0">
  <autoFilter ref="G6:J13" xr:uid="{39E86087-D977-4CB0-88D6-336DFF72DB92}"/>
  <tableColumns count="4">
    <tableColumn id="1" xr3:uid="{1F55CF96-3E45-4532-AF3F-E2E36B2B84C0}" name="ID PAGO"/>
    <tableColumn id="2" xr3:uid="{E0FA2BB9-F0F7-4B32-AE1B-89E741B67741}" name="ID FACTURA"/>
    <tableColumn id="3" xr3:uid="{BEEAB425-A2CD-4F58-931B-B6BEAF9C78A4}" name="PARCIALIDAD"/>
    <tableColumn id="4" xr3:uid="{8246ADD5-E6E4-41C3-8D8D-20BE333EF33A}" name="PAG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23F5-1AF3-4EC6-9775-CFC30D1B7699}">
  <dimension ref="B4:U40"/>
  <sheetViews>
    <sheetView tabSelected="1" zoomScale="85" zoomScaleNormal="85" workbookViewId="0">
      <selection activeCell="E8" sqref="E8"/>
    </sheetView>
  </sheetViews>
  <sheetFormatPr baseColWidth="10" defaultRowHeight="15" x14ac:dyDescent="0.25"/>
  <cols>
    <col min="2" max="2" width="12.42578125" customWidth="1"/>
    <col min="3" max="3" width="14.140625" customWidth="1"/>
    <col min="5" max="5" width="14.5703125" customWidth="1"/>
    <col min="6" max="6" width="12.28515625" customWidth="1"/>
    <col min="8" max="8" width="12.42578125" customWidth="1"/>
    <col min="9" max="9" width="15.28515625" customWidth="1"/>
    <col min="10" max="10" width="15.140625" customWidth="1"/>
    <col min="13" max="13" width="14" customWidth="1"/>
    <col min="15" max="15" width="13.28515625" customWidth="1"/>
    <col min="16" max="16" width="15.85546875" customWidth="1"/>
    <col min="17" max="17" width="14.42578125" customWidth="1"/>
    <col min="18" max="18" width="16.85546875" customWidth="1"/>
    <col min="20" max="20" width="15.140625" customWidth="1"/>
    <col min="21" max="21" width="14.5703125" customWidth="1"/>
  </cols>
  <sheetData>
    <row r="4" spans="2:21" x14ac:dyDescent="0.25">
      <c r="B4" s="5" t="s">
        <v>11</v>
      </c>
      <c r="C4" s="5"/>
      <c r="G4" s="5" t="s">
        <v>12</v>
      </c>
      <c r="H4" s="5"/>
      <c r="I4" s="5"/>
      <c r="J4" s="5"/>
    </row>
    <row r="6" spans="2:21" x14ac:dyDescent="0.25">
      <c r="B6" t="s">
        <v>0</v>
      </c>
      <c r="C6" t="s">
        <v>1</v>
      </c>
      <c r="G6" t="s">
        <v>2</v>
      </c>
      <c r="H6" t="s">
        <v>0</v>
      </c>
      <c r="I6" t="s">
        <v>3</v>
      </c>
      <c r="J6" t="s">
        <v>4</v>
      </c>
    </row>
    <row r="7" spans="2:21" x14ac:dyDescent="0.25">
      <c r="B7">
        <v>123</v>
      </c>
      <c r="C7" s="1">
        <v>9800</v>
      </c>
      <c r="G7">
        <v>1</v>
      </c>
      <c r="H7">
        <v>456</v>
      </c>
      <c r="I7">
        <v>1</v>
      </c>
      <c r="J7">
        <v>7000</v>
      </c>
    </row>
    <row r="8" spans="2:21" x14ac:dyDescent="0.25">
      <c r="B8">
        <v>456</v>
      </c>
      <c r="C8" s="1">
        <v>8600</v>
      </c>
      <c r="G8">
        <v>2</v>
      </c>
      <c r="H8">
        <v>123</v>
      </c>
      <c r="I8">
        <v>1</v>
      </c>
      <c r="J8">
        <v>5000</v>
      </c>
    </row>
    <row r="9" spans="2:21" x14ac:dyDescent="0.25">
      <c r="B9">
        <v>987</v>
      </c>
      <c r="C9" s="1">
        <v>14300</v>
      </c>
      <c r="G9">
        <v>3</v>
      </c>
      <c r="H9">
        <v>987</v>
      </c>
      <c r="I9">
        <v>1</v>
      </c>
      <c r="J9">
        <v>10000</v>
      </c>
    </row>
    <row r="10" spans="2:21" x14ac:dyDescent="0.25">
      <c r="B10">
        <v>315</v>
      </c>
      <c r="C10" s="1">
        <v>680</v>
      </c>
      <c r="G10">
        <v>4</v>
      </c>
      <c r="H10">
        <v>123</v>
      </c>
      <c r="I10">
        <v>2</v>
      </c>
      <c r="J10">
        <v>1000</v>
      </c>
    </row>
    <row r="11" spans="2:21" x14ac:dyDescent="0.25">
      <c r="G11">
        <v>5</v>
      </c>
      <c r="H11">
        <v>123</v>
      </c>
      <c r="I11">
        <v>3</v>
      </c>
      <c r="J11">
        <v>2000</v>
      </c>
    </row>
    <row r="12" spans="2:21" x14ac:dyDescent="0.25">
      <c r="G12">
        <v>6</v>
      </c>
      <c r="H12">
        <v>315</v>
      </c>
      <c r="I12">
        <v>1</v>
      </c>
      <c r="J12">
        <v>500</v>
      </c>
    </row>
    <row r="13" spans="2:21" x14ac:dyDescent="0.25">
      <c r="G13">
        <v>7</v>
      </c>
      <c r="H13">
        <v>987</v>
      </c>
      <c r="I13">
        <v>2</v>
      </c>
      <c r="J13">
        <v>4300</v>
      </c>
    </row>
    <row r="16" spans="2:21" x14ac:dyDescent="0.25">
      <c r="K16" s="4" t="s">
        <v>13</v>
      </c>
      <c r="L16" s="4"/>
      <c r="M16" s="4"/>
      <c r="N16" s="4"/>
      <c r="O16" s="4"/>
      <c r="P16" s="4"/>
      <c r="Q16" s="4"/>
      <c r="R16" s="4"/>
      <c r="S16" s="4"/>
      <c r="T16" s="4"/>
      <c r="U16" s="4"/>
    </row>
    <row r="18" spans="3:21" x14ac:dyDescent="0.25">
      <c r="C18" t="str" cm="1">
        <f t="array" ref="C18:F18">Pagos[#Headers]</f>
        <v>ID PAGO</v>
      </c>
      <c r="D18" t="str">
        <v>ID FACTURA</v>
      </c>
      <c r="E18" t="str">
        <v>PARCIALIDAD</v>
      </c>
      <c r="F18" t="str">
        <v>PAGADO</v>
      </c>
      <c r="G18" t="str" cm="1">
        <f t="array" ref="G18:H18">Facturas[#Headers]</f>
        <v>ID FACTURA</v>
      </c>
      <c r="H18" t="str">
        <v>IMPORTE</v>
      </c>
      <c r="I18" t="s">
        <v>5</v>
      </c>
      <c r="K18" t="s">
        <v>2</v>
      </c>
      <c r="L18" t="s">
        <v>0</v>
      </c>
      <c r="M18" t="s">
        <v>3</v>
      </c>
      <c r="N18" t="s">
        <v>4</v>
      </c>
      <c r="O18" t="s">
        <v>1</v>
      </c>
      <c r="P18" t="s">
        <v>5</v>
      </c>
      <c r="Q18" t="s">
        <v>6</v>
      </c>
      <c r="R18" t="s">
        <v>7</v>
      </c>
      <c r="S18" t="s">
        <v>8</v>
      </c>
      <c r="T18" t="s">
        <v>9</v>
      </c>
      <c r="U18" t="s">
        <v>10</v>
      </c>
    </row>
    <row r="19" spans="3:21" x14ac:dyDescent="0.25">
      <c r="C19" cm="1">
        <f t="array" ref="C19:F25">Pagos[]</f>
        <v>1</v>
      </c>
      <c r="D19">
        <v>456</v>
      </c>
      <c r="E19">
        <v>1</v>
      </c>
      <c r="F19">
        <v>7000</v>
      </c>
      <c r="G19">
        <f>D19</f>
        <v>456</v>
      </c>
      <c r="H19">
        <f>VLOOKUP(G19,Facturas[],2,FALSE)</f>
        <v>8600</v>
      </c>
      <c r="I19" s="2">
        <f>F19/H19</f>
        <v>0.81395348837209303</v>
      </c>
      <c r="K19">
        <v>2</v>
      </c>
      <c r="L19">
        <v>123</v>
      </c>
      <c r="M19">
        <v>1</v>
      </c>
      <c r="N19" s="1">
        <v>5000</v>
      </c>
      <c r="O19" s="1">
        <v>9800</v>
      </c>
      <c r="P19" s="2">
        <v>0.51020408163265307</v>
      </c>
      <c r="Q19" s="1">
        <f>N19</f>
        <v>5000</v>
      </c>
      <c r="R19" s="2">
        <f>Q19/O19</f>
        <v>0.51020408163265307</v>
      </c>
      <c r="S19" s="1">
        <f>O19-Q19</f>
        <v>4800</v>
      </c>
      <c r="T19">
        <v>0</v>
      </c>
      <c r="U19" s="1">
        <f>S19*T19</f>
        <v>0</v>
      </c>
    </row>
    <row r="20" spans="3:21" x14ac:dyDescent="0.25">
      <c r="C20">
        <v>2</v>
      </c>
      <c r="D20">
        <v>123</v>
      </c>
      <c r="E20">
        <v>1</v>
      </c>
      <c r="F20">
        <v>5000</v>
      </c>
      <c r="G20">
        <f t="shared" ref="G20:G25" si="0">D20</f>
        <v>123</v>
      </c>
      <c r="H20">
        <f>VLOOKUP(G20,Facturas[],2,FALSE)</f>
        <v>9800</v>
      </c>
      <c r="I20" s="2">
        <f t="shared" ref="I20:I25" si="1">F20/H20</f>
        <v>0.51020408163265307</v>
      </c>
      <c r="K20">
        <v>4</v>
      </c>
      <c r="L20">
        <v>123</v>
      </c>
      <c r="M20">
        <v>2</v>
      </c>
      <c r="N20" s="1">
        <v>1000</v>
      </c>
      <c r="O20" s="1">
        <v>9800</v>
      </c>
      <c r="P20" s="2">
        <v>0.10204081632653061</v>
      </c>
      <c r="Q20" s="1">
        <f>N20+Q19</f>
        <v>6000</v>
      </c>
      <c r="R20" s="2">
        <f t="shared" ref="R20:R21" si="2">Q20/O20</f>
        <v>0.61224489795918369</v>
      </c>
      <c r="S20" s="1">
        <f t="shared" ref="S20:S21" si="3">O20-Q20</f>
        <v>3800</v>
      </c>
      <c r="T20">
        <v>0</v>
      </c>
      <c r="U20" s="1">
        <f t="shared" ref="U20:U21" si="4">S20*T20</f>
        <v>0</v>
      </c>
    </row>
    <row r="21" spans="3:21" x14ac:dyDescent="0.25">
      <c r="C21">
        <v>3</v>
      </c>
      <c r="D21">
        <v>987</v>
      </c>
      <c r="E21">
        <v>1</v>
      </c>
      <c r="F21">
        <v>10000</v>
      </c>
      <c r="G21">
        <f t="shared" si="0"/>
        <v>987</v>
      </c>
      <c r="H21">
        <f>VLOOKUP(G21,Facturas[],2,FALSE)</f>
        <v>14300</v>
      </c>
      <c r="I21" s="2">
        <f t="shared" si="1"/>
        <v>0.69930069930069927</v>
      </c>
      <c r="K21">
        <v>5</v>
      </c>
      <c r="L21">
        <v>123</v>
      </c>
      <c r="M21">
        <v>3</v>
      </c>
      <c r="N21" s="1">
        <v>2000</v>
      </c>
      <c r="O21" s="1">
        <v>9800</v>
      </c>
      <c r="P21" s="2">
        <v>0.20408163265306123</v>
      </c>
      <c r="Q21" s="1">
        <f>N21+Q20</f>
        <v>8000</v>
      </c>
      <c r="R21" s="2">
        <f t="shared" si="2"/>
        <v>0.81632653061224492</v>
      </c>
      <c r="S21" s="1">
        <f t="shared" si="3"/>
        <v>1800</v>
      </c>
      <c r="T21">
        <v>1</v>
      </c>
      <c r="U21" s="1">
        <f t="shared" si="4"/>
        <v>1800</v>
      </c>
    </row>
    <row r="22" spans="3:21" x14ac:dyDescent="0.25">
      <c r="C22">
        <v>4</v>
      </c>
      <c r="D22">
        <v>123</v>
      </c>
      <c r="E22">
        <v>2</v>
      </c>
      <c r="F22">
        <v>1000</v>
      </c>
      <c r="G22">
        <f t="shared" si="0"/>
        <v>123</v>
      </c>
      <c r="H22">
        <f>VLOOKUP(G22,Facturas[],2,FALSE)</f>
        <v>9800</v>
      </c>
      <c r="I22" s="2">
        <f t="shared" si="1"/>
        <v>0.10204081632653061</v>
      </c>
    </row>
    <row r="23" spans="3:21" x14ac:dyDescent="0.25">
      <c r="C23">
        <v>5</v>
      </c>
      <c r="D23">
        <v>123</v>
      </c>
      <c r="E23">
        <v>3</v>
      </c>
      <c r="F23">
        <v>2000</v>
      </c>
      <c r="G23">
        <f t="shared" si="0"/>
        <v>123</v>
      </c>
      <c r="H23">
        <f>VLOOKUP(G23,Facturas[],2,FALSE)</f>
        <v>9800</v>
      </c>
      <c r="I23" s="2">
        <f t="shared" si="1"/>
        <v>0.20408163265306123</v>
      </c>
      <c r="S23" s="3">
        <f>SUM(S19:S21)</f>
        <v>10400</v>
      </c>
      <c r="U23" s="1">
        <f>SUM(U19:U21)</f>
        <v>1800</v>
      </c>
    </row>
    <row r="24" spans="3:21" x14ac:dyDescent="0.25">
      <c r="C24">
        <v>6</v>
      </c>
      <c r="D24">
        <v>315</v>
      </c>
      <c r="E24">
        <v>1</v>
      </c>
      <c r="F24">
        <v>500</v>
      </c>
      <c r="G24">
        <f t="shared" si="0"/>
        <v>315</v>
      </c>
      <c r="H24">
        <f>VLOOKUP(G24,Facturas[],2,FALSE)</f>
        <v>680</v>
      </c>
      <c r="I24" s="2">
        <f t="shared" si="1"/>
        <v>0.73529411764705888</v>
      </c>
    </row>
    <row r="25" spans="3:21" x14ac:dyDescent="0.25">
      <c r="C25">
        <v>7</v>
      </c>
      <c r="D25">
        <v>987</v>
      </c>
      <c r="E25">
        <v>2</v>
      </c>
      <c r="F25">
        <v>4300</v>
      </c>
      <c r="G25">
        <f t="shared" si="0"/>
        <v>987</v>
      </c>
      <c r="H25">
        <f>VLOOKUP(G25,Facturas[],2,FALSE)</f>
        <v>14300</v>
      </c>
      <c r="I25" s="2">
        <f t="shared" si="1"/>
        <v>0.30069930069930068</v>
      </c>
    </row>
    <row r="27" spans="3:21" x14ac:dyDescent="0.25">
      <c r="C27" t="s">
        <v>2</v>
      </c>
      <c r="D27" t="s">
        <v>0</v>
      </c>
      <c r="E27" t="s">
        <v>3</v>
      </c>
      <c r="F27" t="s">
        <v>4</v>
      </c>
      <c r="G27" t="s">
        <v>0</v>
      </c>
      <c r="H27" t="s">
        <v>1</v>
      </c>
      <c r="I27" t="s">
        <v>5</v>
      </c>
    </row>
    <row r="28" spans="3:21" x14ac:dyDescent="0.25">
      <c r="C28">
        <v>1</v>
      </c>
      <c r="D28">
        <v>456</v>
      </c>
      <c r="E28">
        <v>1</v>
      </c>
      <c r="F28">
        <v>7000</v>
      </c>
      <c r="G28">
        <v>456</v>
      </c>
      <c r="H28">
        <v>8600</v>
      </c>
      <c r="I28" s="2">
        <v>0.81395348837209303</v>
      </c>
    </row>
    <row r="29" spans="3:21" x14ac:dyDescent="0.25">
      <c r="C29">
        <v>2</v>
      </c>
      <c r="D29">
        <v>123</v>
      </c>
      <c r="E29">
        <v>1</v>
      </c>
      <c r="F29">
        <v>5000</v>
      </c>
      <c r="G29">
        <v>123</v>
      </c>
      <c r="H29">
        <v>9800</v>
      </c>
      <c r="I29" s="2">
        <v>0.51020408163265307</v>
      </c>
    </row>
    <row r="30" spans="3:21" x14ac:dyDescent="0.25">
      <c r="C30">
        <v>3</v>
      </c>
      <c r="D30">
        <v>987</v>
      </c>
      <c r="E30">
        <v>1</v>
      </c>
      <c r="F30">
        <v>10000</v>
      </c>
      <c r="G30">
        <v>987</v>
      </c>
      <c r="H30">
        <v>14300</v>
      </c>
      <c r="I30" s="2">
        <v>0.69930069930069927</v>
      </c>
    </row>
    <row r="31" spans="3:21" x14ac:dyDescent="0.25">
      <c r="C31">
        <v>4</v>
      </c>
      <c r="D31">
        <v>123</v>
      </c>
      <c r="E31">
        <v>2</v>
      </c>
      <c r="F31">
        <v>1000</v>
      </c>
      <c r="G31">
        <v>123</v>
      </c>
      <c r="H31">
        <v>9800</v>
      </c>
      <c r="I31" s="2">
        <v>0.10204081632653061</v>
      </c>
    </row>
    <row r="32" spans="3:21" x14ac:dyDescent="0.25">
      <c r="C32">
        <v>5</v>
      </c>
      <c r="D32">
        <v>123</v>
      </c>
      <c r="E32">
        <v>3</v>
      </c>
      <c r="F32">
        <v>2000</v>
      </c>
      <c r="G32">
        <v>123</v>
      </c>
      <c r="H32">
        <v>9800</v>
      </c>
      <c r="I32" s="2">
        <v>0.20408163265306123</v>
      </c>
    </row>
    <row r="33" spans="3:9" x14ac:dyDescent="0.25">
      <c r="C33">
        <v>6</v>
      </c>
      <c r="D33">
        <v>315</v>
      </c>
      <c r="E33">
        <v>1</v>
      </c>
      <c r="F33">
        <v>500</v>
      </c>
      <c r="G33">
        <v>315</v>
      </c>
      <c r="H33">
        <v>680</v>
      </c>
      <c r="I33" s="2">
        <v>0.73529411764705888</v>
      </c>
    </row>
    <row r="34" spans="3:9" x14ac:dyDescent="0.25">
      <c r="C34">
        <v>7</v>
      </c>
      <c r="D34">
        <v>987</v>
      </c>
      <c r="E34">
        <v>2</v>
      </c>
      <c r="F34">
        <v>4300</v>
      </c>
      <c r="G34">
        <v>987</v>
      </c>
      <c r="H34">
        <v>14300</v>
      </c>
      <c r="I34" s="2">
        <v>0.30069930069930068</v>
      </c>
    </row>
    <row r="36" spans="3:9" x14ac:dyDescent="0.25">
      <c r="C36" t="s">
        <v>0</v>
      </c>
      <c r="D36" t="s">
        <v>5</v>
      </c>
    </row>
    <row r="37" spans="3:9" x14ac:dyDescent="0.25">
      <c r="C37" cm="1">
        <f t="array" ref="C37:C40">_xlfn.UNIQUE(Facturas[ID FACTURA])</f>
        <v>123</v>
      </c>
      <c r="D37" s="2" cm="1">
        <f t="array" ref="D37">SUM(_xlfn._xlws.FILTER($I$28:$I$34,$G$28:$G$34=$C37))</f>
        <v>0.81632653061224492</v>
      </c>
    </row>
    <row r="38" spans="3:9" x14ac:dyDescent="0.25">
      <c r="C38">
        <v>456</v>
      </c>
      <c r="D38" s="2" cm="1">
        <f t="array" ref="D38">SUM(_xlfn._xlws.FILTER($I$28:$I$34,$G$28:$G$34=$C38))</f>
        <v>0.81395348837209303</v>
      </c>
    </row>
    <row r="39" spans="3:9" x14ac:dyDescent="0.25">
      <c r="C39">
        <v>987</v>
      </c>
      <c r="D39" s="2" cm="1">
        <f t="array" ref="D39">SUM(_xlfn._xlws.FILTER($I$28:$I$34,$G$28:$G$34=$C39))</f>
        <v>1</v>
      </c>
    </row>
    <row r="40" spans="3:9" x14ac:dyDescent="0.25">
      <c r="C40">
        <v>315</v>
      </c>
      <c r="D40" s="2" cm="1">
        <f t="array" ref="D40">SUM(_xlfn._xlws.FILTER($I$28:$I$34,$G$28:$G$34=$C40))</f>
        <v>0.73529411764705888</v>
      </c>
    </row>
  </sheetData>
  <mergeCells count="3">
    <mergeCell ref="K16:U16"/>
    <mergeCell ref="G4:J4"/>
    <mergeCell ref="B4:C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2026-09-29T15:38:24Z</dcterms:created>
  <dcterms:modified xsi:type="dcterms:W3CDTF">2026-10-02T16:14:27Z</dcterms:modified>
</cp:coreProperties>
</file>