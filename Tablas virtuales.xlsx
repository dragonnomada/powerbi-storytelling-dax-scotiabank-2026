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powerbi-storytelling-dax-scotiabank-2026/"/>
    </mc:Choice>
  </mc:AlternateContent>
  <xr:revisionPtr revIDLastSave="0" documentId="8_{A0792017-4F75-8E43-918D-D8D5C6C24ED3}" xr6:coauthVersionLast="47" xr6:coauthVersionMax="47" xr10:uidLastSave="{00000000-0000-0000-0000-000000000000}"/>
  <bookViews>
    <workbookView xWindow="5180" yWindow="1880" windowWidth="28040" windowHeight="17180" activeTab="2" xr2:uid="{3BD0B4F4-ACDF-F44A-839A-A8C435B8015C}"/>
  </bookViews>
  <sheets>
    <sheet name="SUMMARIZA" sheetId="1" r:id="rId1"/>
    <sheet name="ADDCOLUMNS" sheetId="2" r:id="rId2"/>
    <sheet name="SELECTCOLUMNS" sheetId="3" r:id="rId3"/>
    <sheet name="GROUPBY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8" i="3" l="1"/>
  <c r="J27" i="3"/>
  <c r="F10" i="3"/>
  <c r="F11" i="3"/>
  <c r="F12" i="3"/>
  <c r="F13" i="3"/>
  <c r="F14" i="3"/>
  <c r="F9" i="3"/>
  <c r="G10" i="3"/>
  <c r="G11" i="3"/>
  <c r="G12" i="3"/>
  <c r="G13" i="3"/>
  <c r="G14" i="3"/>
  <c r="G9" i="3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9" i="2"/>
</calcChain>
</file>

<file path=xl/sharedStrings.xml><?xml version="1.0" encoding="utf-8"?>
<sst xmlns="http://schemas.openxmlformats.org/spreadsheetml/2006/main" count="94" uniqueCount="55">
  <si>
    <t>canal</t>
  </si>
  <si>
    <t>SUCURSAL</t>
  </si>
  <si>
    <t>APP MÓVIL</t>
  </si>
  <si>
    <t>API</t>
  </si>
  <si>
    <t>Otros</t>
  </si>
  <si>
    <t>Transacciones</t>
  </si>
  <si>
    <t>Volumen</t>
  </si>
  <si>
    <t>app</t>
  </si>
  <si>
    <t>sucursal</t>
  </si>
  <si>
    <t>api</t>
  </si>
  <si>
    <t>otros</t>
  </si>
  <si>
    <t>TX001</t>
  </si>
  <si>
    <t>TX002</t>
  </si>
  <si>
    <t>TX003</t>
  </si>
  <si>
    <t>TX004</t>
  </si>
  <si>
    <t>TX005</t>
  </si>
  <si>
    <t>TX006</t>
  </si>
  <si>
    <t>TX007</t>
  </si>
  <si>
    <t>TX008</t>
  </si>
  <si>
    <t>TX009</t>
  </si>
  <si>
    <t>TX010</t>
  </si>
  <si>
    <t>TX011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</si>
  <si>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</si>
  <si>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</si>
  <si>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</si>
  <si>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</si>
  <si>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</si>
  <si>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</si>
  <si>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</si>
  <si>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</si>
  <si>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TASA RECHAZO DEL CANAL</t>
  </si>
  <si>
    <t>TASA RECHAZO GENERAL</t>
  </si>
  <si>
    <t>COLUMNA AÑADIDA</t>
  </si>
  <si>
    <t>COLUMNA CALCULADA</t>
  </si>
  <si>
    <t>DIFERENCIA</t>
  </si>
  <si>
    <t>A</t>
  </si>
  <si>
    <t>B</t>
  </si>
  <si>
    <t>Tabla Virtual</t>
  </si>
  <si>
    <t>C</t>
  </si>
  <si>
    <t>X</t>
  </si>
  <si>
    <t>Y</t>
  </si>
  <si>
    <t>Tabla Física</t>
  </si>
  <si>
    <t>=</t>
  </si>
  <si>
    <t>GROUPBY(</t>
  </si>
  <si>
    <t>,</t>
  </si>
  <si>
    <t>"AGG 1"</t>
  </si>
  <si>
    <t>AGGX(</t>
  </si>
  <si>
    <t>CURRENTGROUP()</t>
  </si>
  <si>
    <t>TABLA AGRUPADA</t>
  </si>
  <si>
    <t>)</t>
  </si>
  <si>
    <t>Tabla Seleccionada</t>
  </si>
  <si>
    <t>Tablas agrupadas</t>
  </si>
  <si>
    <t>GRUPO 1</t>
  </si>
  <si>
    <t>GRUPO 2</t>
  </si>
  <si>
    <t>Y (AGG)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</si>
</sst>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9" fontId="0" fillId="0" borderId="0" xfId="2" applyFont="1"/>
    <xf numFmtId="164" fontId="0" fillId="0" borderId="0" xfId="2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2" borderId="0" xfId="0" applyFill="1"/>
    <xf numFmtId="0" fontId="0" fillId="3" borderId="0" xfId="0" applyFill="1"/>
    <xf numFmtId="44" fontId="0" fillId="4" borderId="0" xfId="1" applyFont="1" applyFill="1" applyAlignment="1">
      <alignment horizontal="center"/>
    </xf>
    <xf numFmtId="0" fontId="0" fillId="4" borderId="0" xfId="0" applyFill="1"/>
    <xf numFmtId="0" fontId="0" fillId="6" borderId="0" xfId="0" applyFill="1"/>
    <xf numFmtId="0" fontId="0" fillId="5" borderId="0" xfId="0" applyFill="1"/>
    <xf numFmtId="44" fontId="0" fillId="6" borderId="0" xfId="0" applyNumberFormat="1" applyFill="1"/>
    <xf numFmtId="0" fontId="0" fillId="7" borderId="0" xfId="0" applyFill="1"/>
    <xf numFmtId="0" fontId="0" fillId="5" borderId="0" xfId="0" applyFill="1" applyAlignment="1">
      <alignment horizontal="center" textRotation="90"/>
    </xf>
    <xf numFmtId="0" fontId="0" fillId="7" borderId="0" xfId="0" applyFill="1" applyAlignment="1">
      <alignment horizontal="center" textRotation="90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8075-9B9C-684D-9DFC-BC794F8D14E4}">
  <dimension ref="C8:E12"/>
  <sheetViews>
    <sheetView zoomScale="159" workbookViewId="0">
      <selection activeCell="H16" sqref="H16"/>
    </sheetView>
  </sheetViews>
  <sheetFormatPr baseColWidth="10" defaultRowHeight="16" x14ac:dyDescent="0.2"/>
  <cols>
    <col min="4" max="4" width="17.33203125" customWidth="1"/>
    <col min="5" max="5" width="15.33203125" bestFit="1" customWidth="1"/>
  </cols>
  <sheetData>
    <row r="8" spans="3:5" x14ac:dyDescent="0.2">
      <c r="C8" t="s">
        <v>0</v>
      </c>
      <c r="D8" t="s">
        <v>5</v>
      </c>
      <c r="E8" t="s">
        <v>6</v>
      </c>
    </row>
    <row r="9" spans="3:5" x14ac:dyDescent="0.2">
      <c r="C9" t="s">
        <v>2</v>
      </c>
      <c r="D9">
        <v>89000</v>
      </c>
      <c r="E9" s="1">
        <v>34000000</v>
      </c>
    </row>
    <row r="10" spans="3:5" x14ac:dyDescent="0.2">
      <c r="C10" t="s">
        <v>1</v>
      </c>
      <c r="D10">
        <v>30000</v>
      </c>
      <c r="E10" s="1">
        <v>16000000</v>
      </c>
    </row>
    <row r="11" spans="3:5" x14ac:dyDescent="0.2">
      <c r="C11" t="s">
        <v>3</v>
      </c>
      <c r="D11">
        <v>11000</v>
      </c>
      <c r="E11" s="1">
        <v>2000000</v>
      </c>
    </row>
    <row r="12" spans="3:5" x14ac:dyDescent="0.2">
      <c r="C12" t="s">
        <v>4</v>
      </c>
      <c r="D12">
        <v>5000</v>
      </c>
      <c r="E12" s="1">
        <v>680000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C36C-AAC9-5D46-8207-E9EDAB255329}">
  <dimension ref="B6:F27"/>
  <sheetViews>
    <sheetView topLeftCell="A4" zoomScale="125" workbookViewId="0">
      <selection activeCell="H21" sqref="H21"/>
    </sheetView>
  </sheetViews>
  <sheetFormatPr baseColWidth="10" defaultRowHeight="16" x14ac:dyDescent="0.2"/>
  <cols>
    <col min="4" max="4" width="28.83203125" customWidth="1"/>
    <col min="5" max="5" width="23.5" customWidth="1"/>
    <col min="6" max="6" width="17.83203125" customWidth="1"/>
  </cols>
  <sheetData>
    <row r="6" spans="2:6" x14ac:dyDescent="0.2">
      <c r="D6" t="s">
        <v>32</v>
      </c>
      <c r="E6" t="s">
        <v>33</v>
      </c>
    </row>
    <row r="8" spans="2:6" x14ac:dyDescent="0.2">
      <c r="C8" t="s">
        <v>0</v>
      </c>
      <c r="D8" t="s">
        <v>30</v>
      </c>
      <c r="E8" t="s">
        <v>31</v>
      </c>
      <c r="F8" t="s">
        <v>34</v>
      </c>
    </row>
    <row r="9" spans="2:6" x14ac:dyDescent="0.2">
      <c r="B9" t="s">
        <v>11</v>
      </c>
      <c r="C9" t="s">
        <v>7</v>
      </c>
      <c r="D9" s="2">
        <v>0.03</v>
      </c>
      <c r="E9" s="3">
        <v>3.5000000000000003E-2</v>
      </c>
      <c r="F9" s="4">
        <f>D9-E9</f>
        <v>-5.0000000000000044E-3</v>
      </c>
    </row>
    <row r="10" spans="2:6" x14ac:dyDescent="0.2">
      <c r="B10" t="s">
        <v>12</v>
      </c>
      <c r="C10" t="s">
        <v>8</v>
      </c>
      <c r="D10" s="2">
        <v>0.02</v>
      </c>
      <c r="E10" s="3">
        <v>3.5000000000000003E-2</v>
      </c>
      <c r="F10" s="4">
        <f t="shared" ref="F10:F27" si="0">D10-E10</f>
        <v>-1.5000000000000003E-2</v>
      </c>
    </row>
    <row r="11" spans="2:6" x14ac:dyDescent="0.2">
      <c r="B11" t="s">
        <v>13</v>
      </c>
      <c r="C11" t="s">
        <v>7</v>
      </c>
      <c r="D11" s="2">
        <v>0.03</v>
      </c>
      <c r="E11" s="3">
        <v>3.5000000000000003E-2</v>
      </c>
      <c r="F11" s="4">
        <f t="shared" si="0"/>
        <v>-5.0000000000000044E-3</v>
      </c>
    </row>
    <row r="12" spans="2:6" x14ac:dyDescent="0.2">
      <c r="B12" t="s">
        <v>14</v>
      </c>
      <c r="C12" t="s">
        <v>8</v>
      </c>
      <c r="D12" s="2">
        <v>0.02</v>
      </c>
      <c r="E12" s="3">
        <v>3.5000000000000003E-2</v>
      </c>
      <c r="F12" s="4">
        <f t="shared" si="0"/>
        <v>-1.5000000000000003E-2</v>
      </c>
    </row>
    <row r="13" spans="2:6" x14ac:dyDescent="0.2">
      <c r="B13" t="s">
        <v>15</v>
      </c>
      <c r="C13" t="s">
        <v>7</v>
      </c>
      <c r="D13" s="2">
        <v>0.03</v>
      </c>
      <c r="E13" s="3">
        <v>3.5000000000000003E-2</v>
      </c>
      <c r="F13" s="4">
        <f t="shared" si="0"/>
        <v>-5.0000000000000044E-3</v>
      </c>
    </row>
    <row r="14" spans="2:6" x14ac:dyDescent="0.2">
      <c r="B14" t="s">
        <v>16</v>
      </c>
      <c r="C14" t="s">
        <v>8</v>
      </c>
      <c r="D14" s="2">
        <v>0.02</v>
      </c>
      <c r="E14" s="3">
        <v>3.5000000000000003E-2</v>
      </c>
      <c r="F14" s="4">
        <f t="shared" si="0"/>
        <v>-1.5000000000000003E-2</v>
      </c>
    </row>
    <row r="15" spans="2:6" x14ac:dyDescent="0.2">
      <c r="B15" t="s">
        <v>17</v>
      </c>
      <c r="C15" t="s">
        <v>8</v>
      </c>
      <c r="D15" s="2">
        <v>0.02</v>
      </c>
      <c r="E15" s="3">
        <v>3.5000000000000003E-2</v>
      </c>
      <c r="F15" s="4">
        <f t="shared" si="0"/>
        <v>-1.5000000000000003E-2</v>
      </c>
    </row>
    <row r="16" spans="2:6" x14ac:dyDescent="0.2">
      <c r="B16" t="s">
        <v>18</v>
      </c>
      <c r="C16" t="s">
        <v>8</v>
      </c>
      <c r="D16" s="2">
        <v>0.02</v>
      </c>
      <c r="E16" s="3">
        <v>3.5000000000000003E-2</v>
      </c>
      <c r="F16" s="4">
        <f t="shared" si="0"/>
        <v>-1.5000000000000003E-2</v>
      </c>
    </row>
    <row r="17" spans="2:6" x14ac:dyDescent="0.2">
      <c r="B17" t="s">
        <v>19</v>
      </c>
      <c r="C17" t="s">
        <v>8</v>
      </c>
      <c r="D17" s="2">
        <v>0.02</v>
      </c>
      <c r="E17" s="3">
        <v>3.5000000000000003E-2</v>
      </c>
      <c r="F17" s="4">
        <f t="shared" si="0"/>
        <v>-1.5000000000000003E-2</v>
      </c>
    </row>
    <row r="18" spans="2:6" x14ac:dyDescent="0.2">
      <c r="B18" t="s">
        <v>20</v>
      </c>
      <c r="C18" t="s">
        <v>7</v>
      </c>
      <c r="D18" s="2">
        <v>0.03</v>
      </c>
      <c r="E18" s="3">
        <v>3.5000000000000003E-2</v>
      </c>
      <c r="F18" s="4">
        <f t="shared" si="0"/>
        <v>-5.0000000000000044E-3</v>
      </c>
    </row>
    <row r="19" spans="2:6" x14ac:dyDescent="0.2">
      <c r="B19" t="s">
        <v>21</v>
      </c>
      <c r="C19" t="s">
        <v>8</v>
      </c>
      <c r="D19" s="2">
        <v>0.02</v>
      </c>
      <c r="E19" s="3">
        <v>3.5000000000000003E-2</v>
      </c>
      <c r="F19" s="4">
        <f t="shared" si="0"/>
        <v>-1.5000000000000003E-2</v>
      </c>
    </row>
    <row r="20" spans="2:6" x14ac:dyDescent="0.2">
      <c r="B20" t="s">
        <v>22</v>
      </c>
      <c r="C20" t="s">
        <v>7</v>
      </c>
      <c r="D20" s="2">
        <v>0.03</v>
      </c>
      <c r="E20" s="3">
        <v>3.5000000000000003E-2</v>
      </c>
      <c r="F20" s="4">
        <f t="shared" si="0"/>
        <v>-5.0000000000000044E-3</v>
      </c>
    </row>
    <row r="21" spans="2:6" x14ac:dyDescent="0.2">
      <c r="B21" t="s">
        <v>23</v>
      </c>
      <c r="C21" t="s">
        <v>7</v>
      </c>
      <c r="D21" s="2">
        <v>0.03</v>
      </c>
      <c r="E21" s="3">
        <v>3.5000000000000003E-2</v>
      </c>
      <c r="F21" s="4">
        <f t="shared" si="0"/>
        <v>-5.0000000000000044E-3</v>
      </c>
    </row>
    <row r="22" spans="2:6" x14ac:dyDescent="0.2">
      <c r="B22" t="s">
        <v>24</v>
      </c>
      <c r="C22" t="s">
        <v>9</v>
      </c>
      <c r="D22" s="2">
        <v>0.05</v>
      </c>
      <c r="E22" s="3">
        <v>3.5000000000000003E-2</v>
      </c>
      <c r="F22" s="4">
        <f t="shared" si="0"/>
        <v>1.4999999999999999E-2</v>
      </c>
    </row>
    <row r="23" spans="2:6" x14ac:dyDescent="0.2">
      <c r="B23" t="s">
        <v>25</v>
      </c>
      <c r="C23" t="s">
        <v>7</v>
      </c>
      <c r="D23" s="2">
        <v>0.03</v>
      </c>
      <c r="E23" s="3">
        <v>3.5000000000000003E-2</v>
      </c>
      <c r="F23" s="4">
        <f t="shared" si="0"/>
        <v>-5.0000000000000044E-3</v>
      </c>
    </row>
    <row r="24" spans="2:6" x14ac:dyDescent="0.2">
      <c r="B24" t="s">
        <v>26</v>
      </c>
      <c r="C24" t="s">
        <v>9</v>
      </c>
      <c r="D24" s="2">
        <v>0.05</v>
      </c>
      <c r="E24" s="3">
        <v>3.5000000000000003E-2</v>
      </c>
      <c r="F24" s="4">
        <f t="shared" si="0"/>
        <v>1.4999999999999999E-2</v>
      </c>
    </row>
    <row r="25" spans="2:6" x14ac:dyDescent="0.2">
      <c r="B25" t="s">
        <v>27</v>
      </c>
      <c r="C25" t="s">
        <v>7</v>
      </c>
      <c r="D25" s="2">
        <v>0.03</v>
      </c>
      <c r="E25" s="3">
        <v>3.5000000000000003E-2</v>
      </c>
      <c r="F25" s="4">
        <f t="shared" si="0"/>
        <v>-5.0000000000000044E-3</v>
      </c>
    </row>
    <row r="26" spans="2:6" x14ac:dyDescent="0.2">
      <c r="B26" t="s">
        <v>28</v>
      </c>
      <c r="C26" t="s">
        <v>10</v>
      </c>
      <c r="D26" s="2">
        <v>0.04</v>
      </c>
      <c r="E26" s="3">
        <v>3.5000000000000003E-2</v>
      </c>
      <c r="F26" s="4">
        <f t="shared" si="0"/>
        <v>4.9999999999999975E-3</v>
      </c>
    </row>
    <row r="27" spans="2:6" x14ac:dyDescent="0.2">
      <c r="B27" t="s">
        <v>29</v>
      </c>
      <c r="C27" t="s">
        <v>9</v>
      </c>
      <c r="D27" s="2">
        <v>0.05</v>
      </c>
      <c r="E27" s="3">
        <v>3.5000000000000003E-2</v>
      </c>
      <c r="F27" s="4">
        <f t="shared" si="0"/>
        <v>1.4999999999999999E-2</v>
      </c>
    </row>
  </sheetData>
  <phoneticPr fontId="2" type="noConversion"/>
  <conditionalFormatting sqref="F9:F2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C184-2454-B744-954B-CEE690666D05}">
  <dimension ref="B6:N28"/>
  <sheetViews>
    <sheetView tabSelected="1" topLeftCell="A5" zoomScale="123" workbookViewId="0">
      <selection activeCell="H17" sqref="H17"/>
    </sheetView>
  </sheetViews>
  <sheetFormatPr baseColWidth="10" defaultRowHeight="16" x14ac:dyDescent="0.2"/>
  <cols>
    <col min="7" max="7" width="21.5" customWidth="1"/>
  </cols>
  <sheetData>
    <row r="6" spans="2:11" x14ac:dyDescent="0.2">
      <c r="B6" t="s">
        <v>41</v>
      </c>
      <c r="F6" t="s">
        <v>37</v>
      </c>
      <c r="J6" t="s">
        <v>51</v>
      </c>
    </row>
    <row r="8" spans="2:11" x14ac:dyDescent="0.2">
      <c r="B8" t="s">
        <v>35</v>
      </c>
      <c r="C8" t="s">
        <v>36</v>
      </c>
      <c r="D8" t="s">
        <v>38</v>
      </c>
      <c r="F8" s="5" t="s">
        <v>39</v>
      </c>
      <c r="G8" s="5" t="s">
        <v>40</v>
      </c>
      <c r="J8" t="s">
        <v>39</v>
      </c>
      <c r="K8" t="s">
        <v>40</v>
      </c>
    </row>
    <row r="9" spans="2:11" x14ac:dyDescent="0.2">
      <c r="B9">
        <v>1</v>
      </c>
      <c r="C9" s="1">
        <v>23</v>
      </c>
      <c r="D9" t="s">
        <v>35</v>
      </c>
      <c r="F9" s="5" t="str">
        <f t="shared" ref="F9:F14" si="0">D9</f>
        <v>A</v>
      </c>
      <c r="G9" s="6">
        <f t="shared" ref="G9:G14" si="1">ABS(C9)</f>
        <v>23</v>
      </c>
    </row>
    <row r="10" spans="2:11" x14ac:dyDescent="0.2">
      <c r="B10">
        <v>2</v>
      </c>
      <c r="C10" s="1">
        <v>-5</v>
      </c>
      <c r="D10" t="s">
        <v>36</v>
      </c>
      <c r="F10" s="5" t="str">
        <f t="shared" si="0"/>
        <v>B</v>
      </c>
      <c r="G10" s="6">
        <f t="shared" si="1"/>
        <v>5</v>
      </c>
      <c r="I10" s="15" t="s">
        <v>52</v>
      </c>
      <c r="J10" s="8" t="s">
        <v>35</v>
      </c>
      <c r="K10" s="9">
        <v>23</v>
      </c>
    </row>
    <row r="11" spans="2:11" x14ac:dyDescent="0.2">
      <c r="B11">
        <v>3</v>
      </c>
      <c r="C11" s="1">
        <v>34</v>
      </c>
      <c r="D11" t="s">
        <v>35</v>
      </c>
      <c r="F11" s="5" t="str">
        <f t="shared" si="0"/>
        <v>A</v>
      </c>
      <c r="G11" s="6">
        <f t="shared" si="1"/>
        <v>34</v>
      </c>
      <c r="I11" s="15"/>
      <c r="J11" s="8" t="s">
        <v>35</v>
      </c>
      <c r="K11" s="9">
        <v>34</v>
      </c>
    </row>
    <row r="12" spans="2:11" x14ac:dyDescent="0.2">
      <c r="B12">
        <v>4</v>
      </c>
      <c r="C12" s="1">
        <v>67</v>
      </c>
      <c r="D12" t="s">
        <v>36</v>
      </c>
      <c r="F12" s="5" t="str">
        <f t="shared" si="0"/>
        <v>B</v>
      </c>
      <c r="G12" s="6">
        <f t="shared" si="1"/>
        <v>67</v>
      </c>
      <c r="I12" s="15"/>
      <c r="J12" s="8" t="s">
        <v>35</v>
      </c>
      <c r="K12" s="9">
        <v>19</v>
      </c>
    </row>
    <row r="13" spans="2:11" x14ac:dyDescent="0.2">
      <c r="B13">
        <v>5</v>
      </c>
      <c r="C13" s="1">
        <v>-8</v>
      </c>
      <c r="D13" t="s">
        <v>36</v>
      </c>
      <c r="F13" s="5" t="str">
        <f t="shared" si="0"/>
        <v>B</v>
      </c>
      <c r="G13" s="6">
        <f t="shared" si="1"/>
        <v>8</v>
      </c>
    </row>
    <row r="14" spans="2:11" x14ac:dyDescent="0.2">
      <c r="B14">
        <v>6</v>
      </c>
      <c r="C14" s="1">
        <v>-19</v>
      </c>
      <c r="D14" t="s">
        <v>35</v>
      </c>
      <c r="F14" s="5" t="str">
        <f t="shared" si="0"/>
        <v>A</v>
      </c>
      <c r="G14" s="6">
        <f t="shared" si="1"/>
        <v>19</v>
      </c>
      <c r="I14" s="16" t="s">
        <v>53</v>
      </c>
      <c r="J14" t="s">
        <v>36</v>
      </c>
      <c r="K14" s="6">
        <v>5</v>
      </c>
    </row>
    <row r="15" spans="2:11" x14ac:dyDescent="0.2">
      <c r="I15" s="16"/>
      <c r="J15" t="s">
        <v>36</v>
      </c>
      <c r="K15" s="6">
        <v>67</v>
      </c>
    </row>
    <row r="16" spans="2:11" x14ac:dyDescent="0.2">
      <c r="I16" s="16"/>
      <c r="J16" t="s">
        <v>36</v>
      </c>
      <c r="K16" s="6">
        <v>8</v>
      </c>
    </row>
    <row r="19" spans="6:14" x14ac:dyDescent="0.2">
      <c r="F19" t="s">
        <v>42</v>
      </c>
      <c r="G19" t="s">
        <v>43</v>
      </c>
    </row>
    <row r="20" spans="6:14" x14ac:dyDescent="0.2">
      <c r="G20" t="s">
        <v>50</v>
      </c>
      <c r="H20" t="s">
        <v>44</v>
      </c>
      <c r="J20" s="7" t="s">
        <v>48</v>
      </c>
      <c r="K20" s="7"/>
    </row>
    <row r="21" spans="6:14" x14ac:dyDescent="0.2">
      <c r="G21" t="s">
        <v>39</v>
      </c>
      <c r="H21" t="s">
        <v>44</v>
      </c>
    </row>
    <row r="22" spans="6:14" x14ac:dyDescent="0.2">
      <c r="G22" t="s">
        <v>45</v>
      </c>
      <c r="H22" t="s">
        <v>44</v>
      </c>
      <c r="I22" s="11" t="s">
        <v>46</v>
      </c>
      <c r="J22" s="12" t="s">
        <v>47</v>
      </c>
      <c r="K22" s="12"/>
      <c r="L22" t="s">
        <v>44</v>
      </c>
      <c r="M22" s="10" t="s">
        <v>40</v>
      </c>
      <c r="N22" t="s">
        <v>49</v>
      </c>
    </row>
    <row r="23" spans="6:14" x14ac:dyDescent="0.2">
      <c r="F23" t="s">
        <v>49</v>
      </c>
    </row>
    <row r="26" spans="6:14" x14ac:dyDescent="0.2">
      <c r="I26" t="s">
        <v>39</v>
      </c>
      <c r="J26" s="10" t="s">
        <v>54</v>
      </c>
    </row>
    <row r="27" spans="6:14" x14ac:dyDescent="0.2">
      <c r="I27" s="12" t="s">
        <v>35</v>
      </c>
      <c r="J27" s="13">
        <f>SUM(K10:K12)</f>
        <v>76</v>
      </c>
    </row>
    <row r="28" spans="6:14" x14ac:dyDescent="0.2">
      <c r="I28" s="14" t="s">
        <v>36</v>
      </c>
      <c r="J28" s="13">
        <f>SUM(K14:K16)</f>
        <v>80</v>
      </c>
    </row>
  </sheetData>
  <mergeCells count="2">
    <mergeCell ref="I10:I12"/>
    <mergeCell ref="I14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2E56-1960-EF4C-AEDA-4B8BE72417F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SUMMARIZA</vt:lpstr>
      <vt:lpstr>ADDCOLUMNS</vt:lpstr>
      <vt:lpstr>SELECTCOLUMNS</vt:lpstr>
      <vt:lpstr>GROUPBY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2026-10-07T15:31:13Z</dcterms:created>
  <dcterms:modified xsi:type="dcterms:W3CDTF">2026-10-07T16:04:00Z</dcterms:modified>
</cp:coreProperties>
</file>